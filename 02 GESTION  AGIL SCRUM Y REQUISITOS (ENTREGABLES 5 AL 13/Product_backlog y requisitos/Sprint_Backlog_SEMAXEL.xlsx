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1" sheetId="1" state="visible" r:id="rId1"/>
    <sheet xmlns:r="http://schemas.openxmlformats.org/officeDocument/2006/relationships" name="Sprint 2" sheetId="2" state="visible" r:id="rId2"/>
    <sheet xmlns:r="http://schemas.openxmlformats.org/officeDocument/2006/relationships" name="Sprint 3" sheetId="3" state="visible" r:id="rId3"/>
    <sheet xmlns:r="http://schemas.openxmlformats.org/officeDocument/2006/relationships" name="Sprint 4" sheetId="4" state="visible" r:id="rId4"/>
    <sheet xmlns:r="http://schemas.openxmlformats.org/officeDocument/2006/relationships" name="Instructivo"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22"/>
      <scheme val="minor"/>
    </font>
    <font>
      <name val="Calibri"/>
      <family val="2"/>
      <b val="1"/>
      <color theme="3"/>
      <sz val="16"/>
      <scheme val="minor"/>
    </font>
    <font>
      <name val="Calibri"/>
      <family val="2"/>
      <color theme="0"/>
      <sz val="11"/>
      <scheme val="minor"/>
    </font>
    <font>
      <b val="1"/>
      <color rgb="00000080"/>
      <sz val="11"/>
    </font>
  </fonts>
  <fills count="6">
    <fill>
      <patternFill/>
    </fill>
    <fill>
      <patternFill patternType="gray125"/>
    </fill>
    <fill>
      <patternFill patternType="solid">
        <fgColor theme="0"/>
        <bgColor indexed="64"/>
      </patternFill>
    </fill>
    <fill>
      <patternFill patternType="solid">
        <fgColor theme="3"/>
        <bgColor indexed="64"/>
      </patternFill>
    </fill>
    <fill>
      <patternFill patternType="solid">
        <fgColor theme="6" tint="0.5999938962981048"/>
        <bgColor indexed="64"/>
      </patternFill>
    </fill>
    <fill>
      <patternFill patternType="solid">
        <fgColor theme="4" tint="0.599993896298104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0" fillId="0" borderId="2" pivotButton="0" quotePrefix="0" xfId="0"/>
    <xf numFmtId="0" fontId="3" fillId="3" borderId="3" applyAlignment="1" pivotButton="0" quotePrefix="0" xfId="0">
      <alignment horizontal="center" vertical="center" wrapText="1"/>
    </xf>
    <xf numFmtId="0" fontId="3" fillId="3" borderId="4"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right" vertical="top" wrapText="1"/>
    </xf>
    <xf numFmtId="0" fontId="0" fillId="4" borderId="1" applyAlignment="1" pivotButton="0" quotePrefix="0" xfId="0">
      <alignment horizontal="right" vertical="top" wrapText="1"/>
    </xf>
    <xf numFmtId="0" fontId="0" fillId="5" borderId="1" applyAlignment="1" pivotButton="0" quotePrefix="0" xfId="0">
      <alignment horizontal="right" vertical="top" wrapText="1"/>
    </xf>
    <xf numFmtId="0" fontId="3" fillId="3" borderId="1" pivotButton="0" quotePrefix="0" xfId="0"/>
    <xf numFmtId="0" fontId="4" fillId="2" borderId="0" pivotButton="0" quotePrefix="0" xfId="0"/>
    <xf numFmtId="0" fontId="0" fillId="2" borderId="5" applyAlignment="1" pivotButton="0" quotePrefix="0" xfId="0">
      <alignment horizontal="center" vertical="center"/>
    </xf>
    <xf numFmtId="0" fontId="0" fillId="5" borderId="5" applyAlignment="1" pivotButton="0" quotePrefix="0" xfId="0">
      <alignment horizontal="center" vertical="center"/>
    </xf>
    <xf numFmtId="0" fontId="0" fillId="2" borderId="1" applyAlignment="1" pivotButton="0" quotePrefix="0" xfId="0">
      <alignment horizontal="center"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S11"/>
  <sheetViews>
    <sheetView workbookViewId="0">
      <selection activeCell="A1" sqref="A1"/>
    </sheetView>
  </sheetViews>
  <sheetFormatPr baseColWidth="8" defaultRowHeight="15"/>
  <cols>
    <col width="1.42578125" customWidth="1" min="1" max="1"/>
    <col width="16.42578125" customWidth="1" min="2" max="2"/>
    <col width="34" customWidth="1" min="3" max="3"/>
    <col width="20.85546875" customWidth="1" min="4" max="4"/>
    <col width="10.42578125" customWidth="1" min="5" max="5"/>
    <col width="11.85546875" customWidth="1" min="6" max="6"/>
    <col width="15.42578125" customWidth="1" min="7" max="7"/>
    <col width="5.85546875" customWidth="1" min="8" max="8"/>
    <col width="5.42578125" customWidth="1" min="9" max="9"/>
    <col width="2.7109375" customWidth="1" min="10" max="10"/>
    <col width="5.85546875" customWidth="1" min="11" max="11"/>
    <col width="5.42578125" customWidth="1" min="12" max="12"/>
    <col width="2.7109375" customWidth="1" min="13" max="13"/>
    <col width="5.85546875" customWidth="1" min="14" max="14"/>
    <col width="5.42578125" customWidth="1" min="15" max="15"/>
    <col width="2.7109375" customWidth="1" min="16" max="16"/>
    <col width="5.85546875" customWidth="1" min="17" max="17"/>
    <col width="5.42578125" customWidth="1" min="18" max="18"/>
    <col width="2.7109375" customWidth="1" min="19" max="19"/>
    <col width="5.85546875" customWidth="1" min="20" max="20"/>
    <col width="5.42578125" customWidth="1" min="21" max="21"/>
    <col width="2.7109375" customWidth="1" min="22" max="22"/>
    <col width="5.85546875" customWidth="1" min="23" max="23"/>
    <col width="5.42578125" customWidth="1" min="24" max="24"/>
    <col width="2.7109375" customWidth="1" min="25" max="25"/>
    <col width="5.85546875" customWidth="1" min="26" max="26"/>
    <col width="5.42578125" customWidth="1" min="27" max="27"/>
    <col width="2.7109375" customWidth="1" min="28" max="28"/>
    <col width="5.85546875" customWidth="1" min="29" max="29"/>
    <col width="5.42578125" customWidth="1" min="30" max="30"/>
    <col width="2.7109375" customWidth="1" min="31" max="31"/>
    <col width="5.85546875" customWidth="1" min="32" max="32"/>
    <col width="5.42578125" customWidth="1" min="33" max="33"/>
    <col width="2.7109375" customWidth="1" min="34" max="34"/>
    <col width="5.85546875" customWidth="1" min="35" max="35"/>
    <col width="5.42578125" customWidth="1" min="36" max="36"/>
    <col width="2.7109375" customWidth="1" min="37" max="37"/>
    <col width="5.85546875" customWidth="1" min="38" max="38"/>
    <col width="5.42578125" customWidth="1" min="39" max="39"/>
    <col width="2.7109375" customWidth="1" min="40" max="40"/>
    <col width="5.85546875" customWidth="1" min="41" max="41"/>
    <col width="5.42578125" customWidth="1" min="42" max="42"/>
    <col width="2.7109375" customWidth="1" min="43" max="43"/>
    <col width="5.85546875" customWidth="1" min="44" max="44"/>
    <col width="5.42578125" customWidth="1" min="45" max="45"/>
    <col width="2.7109375" customWidth="1" min="46" max="46"/>
    <col width="5.85546875" customWidth="1" min="47" max="47"/>
    <col width="5.42578125" customWidth="1" min="48" max="48"/>
    <col width="2.7109375" customWidth="1" min="49" max="49"/>
    <col width="5.85546875" customWidth="1" min="50" max="50"/>
    <col width="5.42578125" customWidth="1" min="51" max="51"/>
    <col width="2.7109375" customWidth="1" min="52" max="52"/>
    <col width="5.85546875" customWidth="1" min="53" max="53"/>
    <col width="5.42578125" customWidth="1" min="54" max="54"/>
    <col width="2.7109375" customWidth="1" min="55" max="55"/>
    <col width="5.85546875" customWidth="1" min="56" max="56"/>
    <col width="5.42578125" customWidth="1" min="57" max="57"/>
    <col width="2.7109375" customWidth="1" min="58" max="58"/>
    <col width="5.85546875" customWidth="1" min="59" max="59"/>
    <col width="5.42578125" customWidth="1" min="60" max="60"/>
    <col width="2.7109375" customWidth="1" min="61" max="61"/>
    <col width="5.85546875" customWidth="1" min="62" max="62"/>
    <col width="5.42578125" customWidth="1" min="63" max="63"/>
    <col width="2.7109375" customWidth="1" min="64" max="64"/>
    <col width="5.85546875" customWidth="1" min="65" max="65"/>
    <col width="5.42578125" customWidth="1" min="66" max="66"/>
    <col width="2.7109375" customWidth="1" min="67" max="67"/>
    <col width="5.85546875" customWidth="1" min="68" max="68"/>
    <col width="5.42578125" customWidth="1" min="69" max="69"/>
    <col width="11.42578125" customWidth="1" min="70" max="70"/>
  </cols>
  <sheetData>
    <row r="1" ht="28.5" customHeight="1">
      <c r="B1" s="1" t="inlineStr">
        <is>
          <t>Metodologías ágiles: Lista de tareas de la iteración (Sprint 1)</t>
        </is>
      </c>
    </row>
    <row r="2" ht="28.5" customHeight="1">
      <c r="B2" s="12" t="inlineStr">
        <is>
          <t>Sprint Goal: Establecer los cimientos arquitectónicos (BD MySQL), seguridad (Login/Roles) y el catálogo maestro de locales y activos.</t>
        </is>
      </c>
    </row>
    <row r="3" ht="21" customHeight="1">
      <c r="B3" s="2" t="inlineStr">
        <is>
          <t>Elaborado por: pmoinformatica.com</t>
        </is>
      </c>
    </row>
    <row r="4">
      <c r="H4" s="3" t="inlineStr">
        <is>
          <t>Día 1</t>
        </is>
      </c>
      <c r="I4" s="4" t="n"/>
      <c r="J4" s="5" t="n"/>
      <c r="K4" s="3" t="inlineStr">
        <is>
          <t>Día 2</t>
        </is>
      </c>
      <c r="L4" s="4" t="n"/>
      <c r="M4" s="5" t="n"/>
      <c r="N4" s="3" t="inlineStr">
        <is>
          <t>Día 3</t>
        </is>
      </c>
      <c r="O4" s="4" t="n"/>
      <c r="P4" s="5" t="n"/>
      <c r="Q4" s="3" t="inlineStr">
        <is>
          <t>Día 4</t>
        </is>
      </c>
      <c r="R4" s="4" t="n"/>
      <c r="S4" s="5" t="n"/>
      <c r="T4" s="3" t="inlineStr">
        <is>
          <t>Día 5</t>
        </is>
      </c>
      <c r="U4" s="4" t="n"/>
      <c r="V4" s="5" t="n"/>
      <c r="W4" s="3" t="inlineStr">
        <is>
          <t>Día 6</t>
        </is>
      </c>
      <c r="X4" s="4" t="n"/>
      <c r="Y4" s="5" t="n"/>
      <c r="Z4" s="3" t="inlineStr">
        <is>
          <t>Día 7</t>
        </is>
      </c>
      <c r="AA4" s="4" t="n"/>
      <c r="AB4" s="5" t="n"/>
      <c r="AC4" s="3" t="inlineStr">
        <is>
          <t>Día 8</t>
        </is>
      </c>
      <c r="AD4" s="4" t="n"/>
      <c r="AE4" s="5" t="n"/>
      <c r="AF4" s="3" t="inlineStr">
        <is>
          <t>Día 9</t>
        </is>
      </c>
      <c r="AG4" s="4" t="n"/>
      <c r="AH4" s="5" t="n"/>
      <c r="AI4" s="3" t="inlineStr">
        <is>
          <t>Día 10</t>
        </is>
      </c>
      <c r="AJ4" s="4" t="n"/>
      <c r="AK4" s="5" t="n"/>
      <c r="AL4" s="3" t="inlineStr">
        <is>
          <t>Día 11</t>
        </is>
      </c>
      <c r="AM4" s="4" t="n"/>
      <c r="AN4" s="5" t="n"/>
      <c r="AO4" s="3" t="inlineStr">
        <is>
          <t>Día 12</t>
        </is>
      </c>
      <c r="AP4" s="4" t="n"/>
      <c r="AQ4" s="5" t="n"/>
      <c r="AR4" s="3" t="inlineStr">
        <is>
          <t>Día 13</t>
        </is>
      </c>
      <c r="AS4" s="4" t="n"/>
      <c r="AT4" s="5" t="n"/>
      <c r="AU4" s="3" t="inlineStr">
        <is>
          <t>Día 14</t>
        </is>
      </c>
      <c r="AV4" s="4" t="n"/>
      <c r="AW4" s="5" t="n"/>
      <c r="AX4" s="3" t="inlineStr">
        <is>
          <t>Día 15</t>
        </is>
      </c>
      <c r="AY4" s="4" t="n"/>
      <c r="AZ4" s="5" t="n"/>
      <c r="BA4" s="3" t="inlineStr">
        <is>
          <t>Día 16</t>
        </is>
      </c>
      <c r="BB4" s="4" t="n"/>
      <c r="BC4" s="5" t="n"/>
      <c r="BD4" s="3" t="inlineStr">
        <is>
          <t>Día 17</t>
        </is>
      </c>
      <c r="BE4" s="4" t="n"/>
      <c r="BF4" s="5" t="n"/>
      <c r="BG4" s="3" t="inlineStr">
        <is>
          <t>Día 18</t>
        </is>
      </c>
      <c r="BH4" s="4" t="n"/>
      <c r="BI4" s="5" t="n"/>
      <c r="BJ4" s="3" t="inlineStr">
        <is>
          <t>Día 19</t>
        </is>
      </c>
      <c r="BK4" s="4" t="n"/>
      <c r="BL4" s="5" t="n"/>
      <c r="BM4" s="3" t="inlineStr">
        <is>
          <t>Día 20</t>
        </is>
      </c>
      <c r="BN4" s="4" t="n"/>
      <c r="BO4" s="5" t="n"/>
      <c r="BP4" s="3" t="inlineStr">
        <is>
          <t>Total</t>
        </is>
      </c>
      <c r="BQ4" s="4" t="n"/>
    </row>
    <row r="5" ht="45" customHeight="1">
      <c r="B5" s="3" t="inlineStr">
        <is>
          <t>Identificador (ID) de item de product backlog</t>
        </is>
      </c>
      <c r="C5" s="3" t="inlineStr">
        <is>
          <t>Enunciado del item de Product Backlog</t>
        </is>
      </c>
      <c r="D5" s="3" t="inlineStr">
        <is>
          <t>Tarea</t>
        </is>
      </c>
      <c r="E5" s="3" t="inlineStr">
        <is>
          <t>Dueño / Voluntario</t>
        </is>
      </c>
      <c r="F5" s="3" t="inlineStr">
        <is>
          <t>Estatus</t>
        </is>
      </c>
      <c r="G5" s="3" t="inlineStr">
        <is>
          <t>Horas estimadas totales</t>
        </is>
      </c>
      <c r="H5" s="6" t="inlineStr">
        <is>
          <t>Cons.</t>
        </is>
      </c>
      <c r="I5" s="6" t="inlineStr">
        <is>
          <t>Rest.</t>
        </is>
      </c>
      <c r="J5" s="6" t="n"/>
      <c r="K5" s="6" t="inlineStr">
        <is>
          <t>Cons.</t>
        </is>
      </c>
      <c r="L5" s="6" t="inlineStr">
        <is>
          <t>Rest.</t>
        </is>
      </c>
      <c r="M5" s="6" t="n"/>
      <c r="N5" s="6" t="inlineStr">
        <is>
          <t>Cons.</t>
        </is>
      </c>
      <c r="O5" s="6" t="inlineStr">
        <is>
          <t>Rest.</t>
        </is>
      </c>
      <c r="P5" s="6" t="n"/>
      <c r="Q5" s="6" t="inlineStr">
        <is>
          <t>Cons.</t>
        </is>
      </c>
      <c r="R5" s="6" t="inlineStr">
        <is>
          <t>Rest.</t>
        </is>
      </c>
      <c r="S5" s="6" t="n"/>
      <c r="T5" s="6" t="inlineStr">
        <is>
          <t>Cons.</t>
        </is>
      </c>
      <c r="U5" s="6" t="inlineStr">
        <is>
          <t>Rest.</t>
        </is>
      </c>
      <c r="V5" s="6" t="n"/>
      <c r="W5" s="6" t="inlineStr">
        <is>
          <t>Cons.</t>
        </is>
      </c>
      <c r="X5" s="6" t="inlineStr">
        <is>
          <t>Rest.</t>
        </is>
      </c>
      <c r="Y5" s="6" t="n"/>
      <c r="Z5" s="6" t="inlineStr">
        <is>
          <t>Cons.</t>
        </is>
      </c>
      <c r="AA5" s="6" t="inlineStr">
        <is>
          <t>Rest.</t>
        </is>
      </c>
      <c r="AB5" s="6" t="n"/>
      <c r="AC5" s="6" t="inlineStr">
        <is>
          <t>Cons.</t>
        </is>
      </c>
      <c r="AD5" s="6" t="inlineStr">
        <is>
          <t>Rest.</t>
        </is>
      </c>
      <c r="AE5" s="6" t="n"/>
      <c r="AF5" s="6" t="inlineStr">
        <is>
          <t>Cons.</t>
        </is>
      </c>
      <c r="AG5" s="6" t="inlineStr">
        <is>
          <t>Rest.</t>
        </is>
      </c>
      <c r="AH5" s="6" t="n"/>
      <c r="AI5" s="6" t="inlineStr">
        <is>
          <t>Cons.</t>
        </is>
      </c>
      <c r="AJ5" s="6" t="inlineStr">
        <is>
          <t>Rest.</t>
        </is>
      </c>
      <c r="AK5" s="6" t="n"/>
      <c r="AL5" s="6" t="inlineStr">
        <is>
          <t>Cons.</t>
        </is>
      </c>
      <c r="AM5" s="6" t="inlineStr">
        <is>
          <t>Rest.</t>
        </is>
      </c>
      <c r="AN5" s="6" t="n"/>
      <c r="AO5" s="6" t="inlineStr">
        <is>
          <t>Cons.</t>
        </is>
      </c>
      <c r="AP5" s="6" t="inlineStr">
        <is>
          <t>Rest.</t>
        </is>
      </c>
      <c r="AQ5" s="6" t="n"/>
      <c r="AR5" s="6" t="inlineStr">
        <is>
          <t>Cons.</t>
        </is>
      </c>
      <c r="AS5" s="6" t="inlineStr">
        <is>
          <t>Rest.</t>
        </is>
      </c>
      <c r="AT5" s="6" t="n"/>
      <c r="AU5" s="6" t="inlineStr">
        <is>
          <t>Cons.</t>
        </is>
      </c>
      <c r="AV5" s="6" t="inlineStr">
        <is>
          <t>Rest.</t>
        </is>
      </c>
      <c r="AW5" s="6" t="n"/>
      <c r="AX5" s="6" t="inlineStr">
        <is>
          <t>Cons.</t>
        </is>
      </c>
      <c r="AY5" s="6" t="inlineStr">
        <is>
          <t>Rest.</t>
        </is>
      </c>
      <c r="AZ5" s="6" t="n"/>
      <c r="BA5" s="6" t="inlineStr">
        <is>
          <t>Cons.</t>
        </is>
      </c>
      <c r="BB5" s="6" t="inlineStr">
        <is>
          <t>Rest.</t>
        </is>
      </c>
      <c r="BC5" s="6" t="n"/>
      <c r="BD5" s="6" t="inlineStr">
        <is>
          <t>Cons.</t>
        </is>
      </c>
      <c r="BE5" s="6" t="inlineStr">
        <is>
          <t>Rest.</t>
        </is>
      </c>
      <c r="BF5" s="6" t="n"/>
      <c r="BG5" s="6" t="inlineStr">
        <is>
          <t>Cons.</t>
        </is>
      </c>
      <c r="BH5" s="6" t="inlineStr">
        <is>
          <t>Rest.</t>
        </is>
      </c>
      <c r="BI5" s="6" t="n"/>
      <c r="BJ5" s="6" t="inlineStr">
        <is>
          <t>Cons.</t>
        </is>
      </c>
      <c r="BK5" s="6" t="inlineStr">
        <is>
          <t>Rest.</t>
        </is>
      </c>
      <c r="BL5" s="6" t="n"/>
      <c r="BM5" s="6" t="inlineStr">
        <is>
          <t>Cons.</t>
        </is>
      </c>
      <c r="BN5" s="6" t="inlineStr">
        <is>
          <t>Rest.</t>
        </is>
      </c>
      <c r="BO5" s="6" t="n"/>
      <c r="BP5" s="6" t="inlineStr">
        <is>
          <t>Cons.</t>
        </is>
      </c>
      <c r="BQ5" s="6" t="inlineStr">
        <is>
          <t>Rest.</t>
        </is>
      </c>
      <c r="BS5" t="inlineStr">
        <is>
          <t>Clave Jira</t>
        </is>
      </c>
    </row>
    <row r="6" ht="24" customHeight="1">
      <c r="B6" s="7" t="inlineStr">
        <is>
          <t>HU-15</t>
        </is>
      </c>
      <c r="C6" s="7" t="inlineStr">
        <is>
          <t>[Prioridad: Alta] Como Administrador, quiero gestionar usuarios y asignar roles para controlar el acceso a la plataforma.</t>
        </is>
      </c>
      <c r="D6" s="7" t="inlineStr">
        <is>
          <t>Modelado de BD y Backend de gestión de usuarios</t>
        </is>
      </c>
      <c r="E6" s="7" t="inlineStr">
        <is>
          <t>Elías Guala</t>
        </is>
      </c>
      <c r="F6" s="7" t="inlineStr">
        <is>
          <t>No Iniciado</t>
        </is>
      </c>
      <c r="G6" s="7" t="n">
        <v>28</v>
      </c>
      <c r="H6" s="13" t="n">
        <v>0</v>
      </c>
      <c r="I6" s="13">
        <f>G6-H6</f>
        <v/>
      </c>
      <c r="J6" s="9" t="n"/>
      <c r="K6" s="13" t="n">
        <v>0</v>
      </c>
      <c r="L6" s="13">
        <f>I6-K6</f>
        <v/>
      </c>
      <c r="M6" s="9" t="n"/>
      <c r="N6" s="13" t="n">
        <v>0</v>
      </c>
      <c r="O6" s="13">
        <f>L6-N6</f>
        <v/>
      </c>
      <c r="P6" s="9" t="n"/>
      <c r="Q6" s="13" t="n">
        <v>0</v>
      </c>
      <c r="R6" s="13">
        <f>O6-Q6</f>
        <v/>
      </c>
      <c r="S6" s="9" t="n"/>
      <c r="T6" s="13" t="n">
        <v>0</v>
      </c>
      <c r="U6" s="13">
        <f>R6-T6</f>
        <v/>
      </c>
      <c r="V6" s="9" t="n"/>
      <c r="W6" s="13" t="n">
        <v>0</v>
      </c>
      <c r="X6" s="13">
        <f>U6-W6</f>
        <v/>
      </c>
      <c r="Y6" s="9" t="n"/>
      <c r="Z6" s="13" t="n">
        <v>0</v>
      </c>
      <c r="AA6" s="13">
        <f>X6-Z6</f>
        <v/>
      </c>
      <c r="AB6" s="9" t="n"/>
      <c r="AC6" s="13" t="n">
        <v>0</v>
      </c>
      <c r="AD6" s="13">
        <f>AA6-AC6</f>
        <v/>
      </c>
      <c r="AE6" s="9" t="n"/>
      <c r="AF6" s="13" t="n">
        <v>0</v>
      </c>
      <c r="AG6" s="13">
        <f>AD6-AF6</f>
        <v/>
      </c>
      <c r="AH6" s="9" t="n"/>
      <c r="AI6" s="13" t="n">
        <v>0</v>
      </c>
      <c r="AJ6" s="13">
        <f>AG6-AI6</f>
        <v/>
      </c>
      <c r="AK6" s="9" t="n"/>
      <c r="AL6" s="13" t="n">
        <v>0</v>
      </c>
      <c r="AM6" s="13">
        <f>AJ6-AL6</f>
        <v/>
      </c>
      <c r="AN6" s="9" t="n"/>
      <c r="AO6" s="13" t="n">
        <v>0</v>
      </c>
      <c r="AP6" s="13">
        <f>AM6-AO6</f>
        <v/>
      </c>
      <c r="AQ6" s="9" t="n"/>
      <c r="AR6" s="13" t="n">
        <v>0</v>
      </c>
      <c r="AS6" s="13">
        <f>AP6-AR6</f>
        <v/>
      </c>
      <c r="AT6" s="9" t="n"/>
      <c r="AU6" s="13" t="n">
        <v>0</v>
      </c>
      <c r="AV6" s="13">
        <f>AS6-AU6</f>
        <v/>
      </c>
      <c r="AW6" s="9" t="n"/>
      <c r="AX6" s="13" t="n">
        <v>0</v>
      </c>
      <c r="AY6" s="13">
        <f>AV6-AX6</f>
        <v/>
      </c>
      <c r="AZ6" s="9" t="n"/>
      <c r="BA6" s="13" t="n">
        <v>0</v>
      </c>
      <c r="BB6" s="13">
        <f>AY6-BA6</f>
        <v/>
      </c>
      <c r="BC6" s="9" t="n"/>
      <c r="BD6" s="13" t="n">
        <v>0</v>
      </c>
      <c r="BE6" s="13">
        <f>BB6-BD6</f>
        <v/>
      </c>
      <c r="BF6" s="9" t="n"/>
      <c r="BG6" s="13" t="n">
        <v>0</v>
      </c>
      <c r="BH6" s="13">
        <f>BE6-BG6</f>
        <v/>
      </c>
      <c r="BI6" s="9" t="n"/>
      <c r="BJ6" s="13" t="n">
        <v>0</v>
      </c>
      <c r="BK6" s="13">
        <f>BH6-BJ6</f>
        <v/>
      </c>
      <c r="BL6" s="9" t="n"/>
      <c r="BM6" s="13" t="n">
        <v>0</v>
      </c>
      <c r="BN6" s="13">
        <f>BK6-BM6</f>
        <v/>
      </c>
      <c r="BO6" s="9" t="n"/>
      <c r="BP6" s="14">
        <f>H6+K6+N6+Q6+T6+W6+Z6+AC6+AF6+AI6+AL6+AO6+AR6+AU6+AX6+BA6+BD6+BG6+BJ6+BM6</f>
        <v/>
      </c>
      <c r="BQ6" s="14">
        <f>BN6</f>
        <v/>
      </c>
      <c r="BS6" t="inlineStr">
        <is>
          <t>SMX-65</t>
        </is>
      </c>
    </row>
    <row r="7" ht="24" customHeight="1">
      <c r="B7" s="15" t="inlineStr">
        <is>
          <t>HU-15</t>
        </is>
      </c>
      <c r="C7" s="16" t="inlineStr">
        <is>
          <t>[Prioridad: Alta] Como Administrador, quiero gestionar usuarios y asignar roles para controlar el acceso a la plataforma.</t>
        </is>
      </c>
      <c r="D7" s="7" t="inlineStr">
        <is>
          <t>Interfaz Frontend para administración de usuarios y roles</t>
        </is>
      </c>
      <c r="E7" s="7" t="inlineStr">
        <is>
          <t>Elías Guala</t>
        </is>
      </c>
      <c r="F7" s="7" t="inlineStr">
        <is>
          <t>No Iniciado</t>
        </is>
      </c>
      <c r="G7" s="7" t="n">
        <v>28</v>
      </c>
      <c r="H7" s="13" t="n">
        <v>0</v>
      </c>
      <c r="I7" s="13">
        <f>G7-H7</f>
        <v/>
      </c>
      <c r="J7" s="9" t="n"/>
      <c r="K7" s="13" t="n">
        <v>0</v>
      </c>
      <c r="L7" s="13">
        <f>I7-K7</f>
        <v/>
      </c>
      <c r="M7" s="9" t="n"/>
      <c r="N7" s="13" t="n">
        <v>0</v>
      </c>
      <c r="O7" s="13">
        <f>L7-N7</f>
        <v/>
      </c>
      <c r="P7" s="9" t="n"/>
      <c r="Q7" s="13" t="n">
        <v>0</v>
      </c>
      <c r="R7" s="13">
        <f>O7-Q7</f>
        <v/>
      </c>
      <c r="S7" s="9" t="n"/>
      <c r="T7" s="13" t="n">
        <v>0</v>
      </c>
      <c r="U7" s="13">
        <f>R7-T7</f>
        <v/>
      </c>
      <c r="V7" s="9" t="n"/>
      <c r="W7" s="13" t="n">
        <v>0</v>
      </c>
      <c r="X7" s="13">
        <f>U7-W7</f>
        <v/>
      </c>
      <c r="Y7" s="9" t="n"/>
      <c r="Z7" s="13" t="n">
        <v>0</v>
      </c>
      <c r="AA7" s="13">
        <f>X7-Z7</f>
        <v/>
      </c>
      <c r="AB7" s="9" t="n"/>
      <c r="AC7" s="13" t="n">
        <v>0</v>
      </c>
      <c r="AD7" s="13">
        <f>AA7-AC7</f>
        <v/>
      </c>
      <c r="AE7" s="9" t="n"/>
      <c r="AF7" s="13" t="n">
        <v>0</v>
      </c>
      <c r="AG7" s="13">
        <f>AD7-AF7</f>
        <v/>
      </c>
      <c r="AH7" s="9" t="n"/>
      <c r="AI7" s="13" t="n">
        <v>0</v>
      </c>
      <c r="AJ7" s="13">
        <f>AG7-AI7</f>
        <v/>
      </c>
      <c r="AK7" s="9" t="n"/>
      <c r="AL7" s="13" t="n">
        <v>0</v>
      </c>
      <c r="AM7" s="13">
        <f>AJ7-AL7</f>
        <v/>
      </c>
      <c r="AN7" s="9" t="n"/>
      <c r="AO7" s="13" t="n">
        <v>0</v>
      </c>
      <c r="AP7" s="13">
        <f>AM7-AO7</f>
        <v/>
      </c>
      <c r="AQ7" s="9" t="n"/>
      <c r="AR7" s="13" t="n">
        <v>0</v>
      </c>
      <c r="AS7" s="13">
        <f>AP7-AR7</f>
        <v/>
      </c>
      <c r="AT7" s="9" t="n"/>
      <c r="AU7" s="13" t="n">
        <v>0</v>
      </c>
      <c r="AV7" s="13">
        <f>AS7-AU7</f>
        <v/>
      </c>
      <c r="AW7" s="9" t="n"/>
      <c r="AX7" s="13" t="n">
        <v>0</v>
      </c>
      <c r="AY7" s="13">
        <f>AV7-AX7</f>
        <v/>
      </c>
      <c r="AZ7" s="9" t="n"/>
      <c r="BA7" s="13" t="n">
        <v>0</v>
      </c>
      <c r="BB7" s="13">
        <f>AY7-BA7</f>
        <v/>
      </c>
      <c r="BC7" s="9" t="n"/>
      <c r="BD7" s="13" t="n">
        <v>0</v>
      </c>
      <c r="BE7" s="13">
        <f>BB7-BD7</f>
        <v/>
      </c>
      <c r="BF7" s="9" t="n"/>
      <c r="BG7" s="13" t="n">
        <v>0</v>
      </c>
      <c r="BH7" s="13">
        <f>BE7-BG7</f>
        <v/>
      </c>
      <c r="BI7" s="9" t="n"/>
      <c r="BJ7" s="13" t="n">
        <v>0</v>
      </c>
      <c r="BK7" s="13">
        <f>BH7-BJ7</f>
        <v/>
      </c>
      <c r="BL7" s="9" t="n"/>
      <c r="BM7" s="13" t="n">
        <v>0</v>
      </c>
      <c r="BN7" s="13">
        <f>BK7-BM7</f>
        <v/>
      </c>
      <c r="BO7" s="9" t="n"/>
      <c r="BP7" s="14">
        <f>H7+K7+N7+Q7+T7+W7+Z7+AC7+AF7+AI7+AL7+AO7+AR7+AU7+AX7+BA7+BD7+BG7+BJ7+BM7</f>
        <v/>
      </c>
      <c r="BQ7" s="14">
        <f>BN7</f>
        <v/>
      </c>
      <c r="BS7" t="inlineStr">
        <is>
          <t>SMX-66</t>
        </is>
      </c>
    </row>
    <row r="8" ht="24" customHeight="1">
      <c r="B8" s="7" t="inlineStr">
        <is>
          <t>HU-16</t>
        </is>
      </c>
      <c r="C8" s="7" t="inlineStr">
        <is>
          <t>[Prioridad: Alta] Como Administrador, quiero registrar locales y sus activos de infraestructura para posibilitar el reporte de incidencias.</t>
        </is>
      </c>
      <c r="D8" s="7" t="inlineStr">
        <is>
          <t>Creación de maestro de activos y locales en BD</t>
        </is>
      </c>
      <c r="E8" s="7" t="inlineStr">
        <is>
          <t>Elías Guala</t>
        </is>
      </c>
      <c r="F8" s="7" t="inlineStr">
        <is>
          <t>No Iniciado</t>
        </is>
      </c>
      <c r="G8" s="7" t="n">
        <v>28</v>
      </c>
      <c r="H8" s="13" t="n">
        <v>0</v>
      </c>
      <c r="I8" s="13">
        <f>G8-H8</f>
        <v/>
      </c>
      <c r="J8" s="9" t="n"/>
      <c r="K8" s="13" t="n">
        <v>0</v>
      </c>
      <c r="L8" s="13">
        <f>I8-K8</f>
        <v/>
      </c>
      <c r="M8" s="9" t="n"/>
      <c r="N8" s="13" t="n">
        <v>0</v>
      </c>
      <c r="O8" s="13">
        <f>L8-N8</f>
        <v/>
      </c>
      <c r="P8" s="9" t="n"/>
      <c r="Q8" s="13" t="n">
        <v>0</v>
      </c>
      <c r="R8" s="13">
        <f>O8-Q8</f>
        <v/>
      </c>
      <c r="S8" s="9" t="n"/>
      <c r="T8" s="13" t="n">
        <v>0</v>
      </c>
      <c r="U8" s="13">
        <f>R8-T8</f>
        <v/>
      </c>
      <c r="V8" s="9" t="n"/>
      <c r="W8" s="13" t="n">
        <v>0</v>
      </c>
      <c r="X8" s="13">
        <f>U8-W8</f>
        <v/>
      </c>
      <c r="Y8" s="9" t="n"/>
      <c r="Z8" s="13" t="n">
        <v>0</v>
      </c>
      <c r="AA8" s="13">
        <f>X8-Z8</f>
        <v/>
      </c>
      <c r="AB8" s="9" t="n"/>
      <c r="AC8" s="13" t="n">
        <v>0</v>
      </c>
      <c r="AD8" s="13">
        <f>AA8-AC8</f>
        <v/>
      </c>
      <c r="AE8" s="9" t="n"/>
      <c r="AF8" s="13" t="n">
        <v>0</v>
      </c>
      <c r="AG8" s="13">
        <f>AD8-AF8</f>
        <v/>
      </c>
      <c r="AH8" s="9" t="n"/>
      <c r="AI8" s="13" t="n">
        <v>0</v>
      </c>
      <c r="AJ8" s="13">
        <f>AG8-AI8</f>
        <v/>
      </c>
      <c r="AK8" s="9" t="n"/>
      <c r="AL8" s="13" t="n">
        <v>0</v>
      </c>
      <c r="AM8" s="13">
        <f>AJ8-AL8</f>
        <v/>
      </c>
      <c r="AN8" s="9" t="n"/>
      <c r="AO8" s="13" t="n">
        <v>0</v>
      </c>
      <c r="AP8" s="13">
        <f>AM8-AO8</f>
        <v/>
      </c>
      <c r="AQ8" s="9" t="n"/>
      <c r="AR8" s="13" t="n">
        <v>0</v>
      </c>
      <c r="AS8" s="13">
        <f>AP8-AR8</f>
        <v/>
      </c>
      <c r="AT8" s="9" t="n"/>
      <c r="AU8" s="13" t="n">
        <v>0</v>
      </c>
      <c r="AV8" s="13">
        <f>AS8-AU8</f>
        <v/>
      </c>
      <c r="AW8" s="9" t="n"/>
      <c r="AX8" s="13" t="n">
        <v>0</v>
      </c>
      <c r="AY8" s="13">
        <f>AV8-AX8</f>
        <v/>
      </c>
      <c r="AZ8" s="9" t="n"/>
      <c r="BA8" s="13" t="n">
        <v>0</v>
      </c>
      <c r="BB8" s="13">
        <f>AY8-BA8</f>
        <v/>
      </c>
      <c r="BC8" s="9" t="n"/>
      <c r="BD8" s="13" t="n">
        <v>0</v>
      </c>
      <c r="BE8" s="13">
        <f>BB8-BD8</f>
        <v/>
      </c>
      <c r="BF8" s="9" t="n"/>
      <c r="BG8" s="13" t="n">
        <v>0</v>
      </c>
      <c r="BH8" s="13">
        <f>BE8-BG8</f>
        <v/>
      </c>
      <c r="BI8" s="9" t="n"/>
      <c r="BJ8" s="13" t="n">
        <v>0</v>
      </c>
      <c r="BK8" s="13">
        <f>BH8-BJ8</f>
        <v/>
      </c>
      <c r="BL8" s="9" t="n"/>
      <c r="BM8" s="13" t="n">
        <v>0</v>
      </c>
      <c r="BN8" s="13">
        <f>BK8-BM8</f>
        <v/>
      </c>
      <c r="BO8" s="9" t="n"/>
      <c r="BP8" s="14">
        <f>H8+K8+N8+Q8+T8+W8+Z8+AC8+AF8+AI8+AL8+AO8+AR8+AU8+AX8+BA8+BD8+BG8+BJ8+BM8</f>
        <v/>
      </c>
      <c r="BQ8" s="14">
        <f>BN8</f>
        <v/>
      </c>
      <c r="BS8" t="inlineStr">
        <is>
          <t>SMX-67</t>
        </is>
      </c>
    </row>
    <row r="9" ht="24" customHeight="1">
      <c r="B9" s="7" t="inlineStr">
        <is>
          <t>HU-08</t>
        </is>
      </c>
      <c r="C9" s="7" t="inlineStr">
        <is>
          <t>[Prioridad: Alta] Como Usuario del sistema, quiero iniciar sesión con credenciales seguras para acceder a mi perfil operativo.</t>
        </is>
      </c>
      <c r="D9" s="7" t="inlineStr">
        <is>
          <t>Lógica de login, encriptado de claves y sesiones</t>
        </is>
      </c>
      <c r="E9" s="7" t="inlineStr">
        <is>
          <t>Elías Guala</t>
        </is>
      </c>
      <c r="F9" s="7" t="inlineStr">
        <is>
          <t>No Iniciado</t>
        </is>
      </c>
      <c r="G9" s="7" t="n">
        <v>28</v>
      </c>
      <c r="H9" s="13" t="n">
        <v>0</v>
      </c>
      <c r="I9" s="13">
        <f>G9-H9</f>
        <v/>
      </c>
      <c r="J9" s="9" t="n"/>
      <c r="K9" s="13" t="n">
        <v>0</v>
      </c>
      <c r="L9" s="13">
        <f>I9-K9</f>
        <v/>
      </c>
      <c r="M9" s="9" t="n"/>
      <c r="N9" s="13" t="n">
        <v>0</v>
      </c>
      <c r="O9" s="13">
        <f>L9-N9</f>
        <v/>
      </c>
      <c r="P9" s="9" t="n"/>
      <c r="Q9" s="13" t="n">
        <v>0</v>
      </c>
      <c r="R9" s="13">
        <f>O9-Q9</f>
        <v/>
      </c>
      <c r="S9" s="9" t="n"/>
      <c r="T9" s="13" t="n">
        <v>0</v>
      </c>
      <c r="U9" s="13">
        <f>R9-T9</f>
        <v/>
      </c>
      <c r="V9" s="9" t="n"/>
      <c r="W9" s="13" t="n">
        <v>0</v>
      </c>
      <c r="X9" s="13">
        <f>U9-W9</f>
        <v/>
      </c>
      <c r="Y9" s="9" t="n"/>
      <c r="Z9" s="13" t="n">
        <v>0</v>
      </c>
      <c r="AA9" s="13">
        <f>X9-Z9</f>
        <v/>
      </c>
      <c r="AB9" s="9" t="n"/>
      <c r="AC9" s="13" t="n">
        <v>0</v>
      </c>
      <c r="AD9" s="13">
        <f>AA9-AC9</f>
        <v/>
      </c>
      <c r="AE9" s="9" t="n"/>
      <c r="AF9" s="13" t="n">
        <v>0</v>
      </c>
      <c r="AG9" s="13">
        <f>AD9-AF9</f>
        <v/>
      </c>
      <c r="AH9" s="9" t="n"/>
      <c r="AI9" s="13" t="n">
        <v>0</v>
      </c>
      <c r="AJ9" s="13">
        <f>AG9-AI9</f>
        <v/>
      </c>
      <c r="AK9" s="9" t="n"/>
      <c r="AL9" s="13" t="n">
        <v>0</v>
      </c>
      <c r="AM9" s="13">
        <f>AJ9-AL9</f>
        <v/>
      </c>
      <c r="AN9" s="9" t="n"/>
      <c r="AO9" s="13" t="n">
        <v>0</v>
      </c>
      <c r="AP9" s="13">
        <f>AM9-AO9</f>
        <v/>
      </c>
      <c r="AQ9" s="9" t="n"/>
      <c r="AR9" s="13" t="n">
        <v>0</v>
      </c>
      <c r="AS9" s="13">
        <f>AP9-AR9</f>
        <v/>
      </c>
      <c r="AT9" s="9" t="n"/>
      <c r="AU9" s="13" t="n">
        <v>0</v>
      </c>
      <c r="AV9" s="13">
        <f>AS9-AU9</f>
        <v/>
      </c>
      <c r="AW9" s="9" t="n"/>
      <c r="AX9" s="13" t="n">
        <v>0</v>
      </c>
      <c r="AY9" s="13">
        <f>AV9-AX9</f>
        <v/>
      </c>
      <c r="AZ9" s="9" t="n"/>
      <c r="BA9" s="13" t="n">
        <v>0</v>
      </c>
      <c r="BB9" s="13">
        <f>AY9-BA9</f>
        <v/>
      </c>
      <c r="BC9" s="9" t="n"/>
      <c r="BD9" s="13" t="n">
        <v>0</v>
      </c>
      <c r="BE9" s="13">
        <f>BB9-BD9</f>
        <v/>
      </c>
      <c r="BF9" s="9" t="n"/>
      <c r="BG9" s="13" t="n">
        <v>0</v>
      </c>
      <c r="BH9" s="13">
        <f>BE9-BG9</f>
        <v/>
      </c>
      <c r="BI9" s="9" t="n"/>
      <c r="BJ9" s="13" t="n">
        <v>0</v>
      </c>
      <c r="BK9" s="13">
        <f>BH9-BJ9</f>
        <v/>
      </c>
      <c r="BL9" s="9" t="n"/>
      <c r="BM9" s="13" t="n">
        <v>0</v>
      </c>
      <c r="BN9" s="13">
        <f>BK9-BM9</f>
        <v/>
      </c>
      <c r="BO9" s="9" t="n"/>
      <c r="BP9" s="14">
        <f>H9+K9+N9+Q9+T9+W9+Z9+AC9+AF9+AI9+AL9+AO9+AR9+AU9+AX9+BA9+BD9+BG9+BJ9+BM9</f>
        <v/>
      </c>
      <c r="BQ9" s="14">
        <f>BN9</f>
        <v/>
      </c>
      <c r="BS9" t="inlineStr">
        <is>
          <t>SMX-68</t>
        </is>
      </c>
    </row>
    <row r="10" ht="24" customHeight="1">
      <c r="B10" s="7" t="inlineStr">
        <is>
          <t>GEST-01</t>
        </is>
      </c>
      <c r="C10" s="7" t="inlineStr">
        <is>
          <t>[Prioridad: Media] Como Scrum Master, requiero coordinar el entorno de trabajo y la documentación técnica inicial.</t>
        </is>
      </c>
      <c r="D10" s="7" t="inlineStr">
        <is>
          <t>Documentación técnica inicial y entorno de trabajo</t>
        </is>
      </c>
      <c r="E10" s="7" t="inlineStr">
        <is>
          <t>Maximiliano Duarte</t>
        </is>
      </c>
      <c r="F10" s="7" t="inlineStr">
        <is>
          <t>No Iniciado</t>
        </is>
      </c>
      <c r="G10" s="7" t="n">
        <v>28</v>
      </c>
      <c r="H10" s="13" t="n">
        <v>0</v>
      </c>
      <c r="I10" s="13">
        <f>G10-H10</f>
        <v/>
      </c>
      <c r="J10" s="9" t="n"/>
      <c r="K10" s="13" t="n">
        <v>0</v>
      </c>
      <c r="L10" s="13">
        <f>I10-K10</f>
        <v/>
      </c>
      <c r="M10" s="9" t="n"/>
      <c r="N10" s="13" t="n">
        <v>0</v>
      </c>
      <c r="O10" s="13">
        <f>L10-N10</f>
        <v/>
      </c>
      <c r="P10" s="9" t="n"/>
      <c r="Q10" s="13" t="n">
        <v>0</v>
      </c>
      <c r="R10" s="13">
        <f>O10-Q10</f>
        <v/>
      </c>
      <c r="S10" s="9" t="n"/>
      <c r="T10" s="13" t="n">
        <v>0</v>
      </c>
      <c r="U10" s="13">
        <f>R10-T10</f>
        <v/>
      </c>
      <c r="V10" s="9" t="n"/>
      <c r="W10" s="13" t="n">
        <v>0</v>
      </c>
      <c r="X10" s="13">
        <f>U10-W10</f>
        <v/>
      </c>
      <c r="Y10" s="9" t="n"/>
      <c r="Z10" s="13" t="n">
        <v>0</v>
      </c>
      <c r="AA10" s="13">
        <f>X10-Z10</f>
        <v/>
      </c>
      <c r="AB10" s="9" t="n"/>
      <c r="AC10" s="13" t="n">
        <v>0</v>
      </c>
      <c r="AD10" s="13">
        <f>AA10-AC10</f>
        <v/>
      </c>
      <c r="AE10" s="9" t="n"/>
      <c r="AF10" s="13" t="n">
        <v>0</v>
      </c>
      <c r="AG10" s="13">
        <f>AD10-AF10</f>
        <v/>
      </c>
      <c r="AH10" s="9" t="n"/>
      <c r="AI10" s="13" t="n">
        <v>0</v>
      </c>
      <c r="AJ10" s="13">
        <f>AG10-AI10</f>
        <v/>
      </c>
      <c r="AK10" s="9" t="n"/>
      <c r="AL10" s="13" t="n">
        <v>0</v>
      </c>
      <c r="AM10" s="13">
        <f>AJ10-AL10</f>
        <v/>
      </c>
      <c r="AN10" s="9" t="n"/>
      <c r="AO10" s="13" t="n">
        <v>0</v>
      </c>
      <c r="AP10" s="13">
        <f>AM10-AO10</f>
        <v/>
      </c>
      <c r="AQ10" s="9" t="n"/>
      <c r="AR10" s="13" t="n">
        <v>0</v>
      </c>
      <c r="AS10" s="13">
        <f>AP10-AR10</f>
        <v/>
      </c>
      <c r="AT10" s="9" t="n"/>
      <c r="AU10" s="13" t="n">
        <v>0</v>
      </c>
      <c r="AV10" s="13">
        <f>AS10-AU10</f>
        <v/>
      </c>
      <c r="AW10" s="9" t="n"/>
      <c r="AX10" s="13" t="n">
        <v>0</v>
      </c>
      <c r="AY10" s="13">
        <f>AV10-AX10</f>
        <v/>
      </c>
      <c r="AZ10" s="9" t="n"/>
      <c r="BA10" s="13" t="n">
        <v>0</v>
      </c>
      <c r="BB10" s="13">
        <f>AY10-BA10</f>
        <v/>
      </c>
      <c r="BC10" s="9" t="n"/>
      <c r="BD10" s="13" t="n">
        <v>0</v>
      </c>
      <c r="BE10" s="13">
        <f>BB10-BD10</f>
        <v/>
      </c>
      <c r="BF10" s="9" t="n"/>
      <c r="BG10" s="13" t="n">
        <v>0</v>
      </c>
      <c r="BH10" s="13">
        <f>BE10-BG10</f>
        <v/>
      </c>
      <c r="BI10" s="9" t="n"/>
      <c r="BJ10" s="13" t="n">
        <v>0</v>
      </c>
      <c r="BK10" s="13">
        <f>BH10-BJ10</f>
        <v/>
      </c>
      <c r="BL10" s="9" t="n"/>
      <c r="BM10" s="13" t="n">
        <v>0</v>
      </c>
      <c r="BN10" s="13">
        <f>BK10-BM10</f>
        <v/>
      </c>
      <c r="BO10" s="9" t="n"/>
      <c r="BP10" s="14">
        <f>H10+K10+N10+Q10+T10+W10+Z10+AC10+AF10+AI10+AL10+AO10+AR10+AU10+AX10+BA10+BD10+BG10+BJ10+BM10</f>
        <v/>
      </c>
      <c r="BQ10" s="14">
        <f>BN10</f>
        <v/>
      </c>
      <c r="BS10" t="inlineStr">
        <is>
          <t>SMX-43</t>
        </is>
      </c>
    </row>
    <row r="11" ht="24" customHeight="1">
      <c r="B11" s="7" t="inlineStr">
        <is>
          <t>QA-01</t>
        </is>
      </c>
      <c r="C11" s="7" t="inlineStr">
        <is>
          <t>[Prioridad: Alta] Como Responsable de QA, quiero verificar la calidad funcional de los módulos de acceso y catálogos.</t>
        </is>
      </c>
      <c r="D11" s="7" t="inlineStr">
        <is>
          <t>Pruebas funcionales de acceso y carga</t>
        </is>
      </c>
      <c r="E11" s="7" t="inlineStr">
        <is>
          <t>Maximiliano Duarte</t>
        </is>
      </c>
      <c r="F11" s="7" t="inlineStr">
        <is>
          <t>No Iniciado</t>
        </is>
      </c>
      <c r="G11" s="7" t="n">
        <v>28</v>
      </c>
      <c r="H11" s="13" t="n">
        <v>0</v>
      </c>
      <c r="I11" s="13">
        <f>G11-H11</f>
        <v/>
      </c>
      <c r="J11" s="9" t="n"/>
      <c r="K11" s="13" t="n">
        <v>0</v>
      </c>
      <c r="L11" s="13">
        <f>I11-K11</f>
        <v/>
      </c>
      <c r="M11" s="9" t="n"/>
      <c r="N11" s="13" t="n">
        <v>0</v>
      </c>
      <c r="O11" s="13">
        <f>L11-N11</f>
        <v/>
      </c>
      <c r="P11" s="9" t="n"/>
      <c r="Q11" s="13" t="n">
        <v>0</v>
      </c>
      <c r="R11" s="13">
        <f>O11-Q11</f>
        <v/>
      </c>
      <c r="S11" s="9" t="n"/>
      <c r="T11" s="13" t="n">
        <v>0</v>
      </c>
      <c r="U11" s="13">
        <f>R11-T11</f>
        <v/>
      </c>
      <c r="V11" s="9" t="n"/>
      <c r="W11" s="13" t="n">
        <v>0</v>
      </c>
      <c r="X11" s="13">
        <f>U11-W11</f>
        <v/>
      </c>
      <c r="Y11" s="9" t="n"/>
      <c r="Z11" s="13" t="n">
        <v>0</v>
      </c>
      <c r="AA11" s="13">
        <f>X11-Z11</f>
        <v/>
      </c>
      <c r="AB11" s="9" t="n"/>
      <c r="AC11" s="13" t="n">
        <v>0</v>
      </c>
      <c r="AD11" s="13">
        <f>AA11-AC11</f>
        <v/>
      </c>
      <c r="AE11" s="9" t="n"/>
      <c r="AF11" s="13" t="n">
        <v>0</v>
      </c>
      <c r="AG11" s="13">
        <f>AD11-AF11</f>
        <v/>
      </c>
      <c r="AH11" s="9" t="n"/>
      <c r="AI11" s="13" t="n">
        <v>0</v>
      </c>
      <c r="AJ11" s="13">
        <f>AG11-AI11</f>
        <v/>
      </c>
      <c r="AK11" s="9" t="n"/>
      <c r="AL11" s="13" t="n">
        <v>0</v>
      </c>
      <c r="AM11" s="13">
        <f>AJ11-AL11</f>
        <v/>
      </c>
      <c r="AN11" s="9" t="n"/>
      <c r="AO11" s="13" t="n">
        <v>0</v>
      </c>
      <c r="AP11" s="13">
        <f>AM11-AO11</f>
        <v/>
      </c>
      <c r="AQ11" s="9" t="n"/>
      <c r="AR11" s="13" t="n">
        <v>0</v>
      </c>
      <c r="AS11" s="13">
        <f>AP11-AR11</f>
        <v/>
      </c>
      <c r="AT11" s="9" t="n"/>
      <c r="AU11" s="13" t="n">
        <v>0</v>
      </c>
      <c r="AV11" s="13">
        <f>AS11-AU11</f>
        <v/>
      </c>
      <c r="AW11" s="9" t="n"/>
      <c r="AX11" s="13" t="n">
        <v>0</v>
      </c>
      <c r="AY11" s="13">
        <f>AV11-AX11</f>
        <v/>
      </c>
      <c r="AZ11" s="9" t="n"/>
      <c r="BA11" s="13" t="n">
        <v>0</v>
      </c>
      <c r="BB11" s="13">
        <f>AY11-BA11</f>
        <v/>
      </c>
      <c r="BC11" s="9" t="n"/>
      <c r="BD11" s="13" t="n">
        <v>0</v>
      </c>
      <c r="BE11" s="13">
        <f>BB11-BD11</f>
        <v/>
      </c>
      <c r="BF11" s="9" t="n"/>
      <c r="BG11" s="13" t="n">
        <v>0</v>
      </c>
      <c r="BH11" s="13">
        <f>BE11-BG11</f>
        <v/>
      </c>
      <c r="BI11" s="9" t="n"/>
      <c r="BJ11" s="13" t="n">
        <v>0</v>
      </c>
      <c r="BK11" s="13">
        <f>BH11-BJ11</f>
        <v/>
      </c>
      <c r="BL11" s="9" t="n"/>
      <c r="BM11" s="13" t="n">
        <v>0</v>
      </c>
      <c r="BN11" s="13">
        <f>BK11-BM11</f>
        <v/>
      </c>
      <c r="BO11" s="9" t="n"/>
      <c r="BP11" s="14">
        <f>H11+K11+N11+Q11+T11+W11+Z11+AC11+AF11+AI11+AL11+AO11+AR11+AU11+AX11+BA11+BD11+BG11+BJ11+BM11</f>
        <v/>
      </c>
      <c r="BQ11" s="14">
        <f>BN11</f>
        <v/>
      </c>
      <c r="BS11" t="inlineStr">
        <is>
          <t>SMX-44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S11"/>
  <sheetViews>
    <sheetView workbookViewId="0">
      <selection activeCell="A1" sqref="A1"/>
    </sheetView>
  </sheetViews>
  <sheetFormatPr baseColWidth="8" defaultRowHeight="15"/>
  <cols>
    <col width="1.42578125" customWidth="1" min="1" max="1"/>
    <col width="16.42578125" customWidth="1" min="2" max="2"/>
    <col width="34" customWidth="1" min="3" max="3"/>
    <col width="20.85546875" customWidth="1" min="4" max="4"/>
    <col width="10.42578125" customWidth="1" min="5" max="5"/>
    <col width="11.85546875" customWidth="1" min="6" max="6"/>
    <col width="15.42578125" customWidth="1" min="7" max="7"/>
    <col width="5.85546875" customWidth="1" min="8" max="8"/>
    <col width="5.42578125" customWidth="1" min="9" max="9"/>
    <col width="2.7109375" customWidth="1" min="10" max="10"/>
    <col width="5.85546875" customWidth="1" min="11" max="11"/>
    <col width="5.42578125" customWidth="1" min="12" max="12"/>
    <col width="2.7109375" customWidth="1" min="13" max="13"/>
    <col width="5.85546875" customWidth="1" min="14" max="14"/>
    <col width="5.42578125" customWidth="1" min="15" max="15"/>
    <col width="2.7109375" customWidth="1" min="16" max="16"/>
    <col width="5.85546875" customWidth="1" min="17" max="17"/>
    <col width="5.42578125" customWidth="1" min="18" max="18"/>
    <col width="2.7109375" customWidth="1" min="19" max="19"/>
    <col width="5.85546875" customWidth="1" min="20" max="20"/>
    <col width="5.42578125" customWidth="1" min="21" max="21"/>
    <col width="2.7109375" customWidth="1" min="22" max="22"/>
    <col width="5.85546875" customWidth="1" min="23" max="23"/>
    <col width="5.42578125" customWidth="1" min="24" max="24"/>
    <col width="2.7109375" customWidth="1" min="25" max="25"/>
    <col width="5.85546875" customWidth="1" min="26" max="26"/>
    <col width="5.42578125" customWidth="1" min="27" max="27"/>
    <col width="2.7109375" customWidth="1" min="28" max="28"/>
    <col width="5.85546875" customWidth="1" min="29" max="29"/>
    <col width="5.42578125" customWidth="1" min="30" max="30"/>
    <col width="2.7109375" customWidth="1" min="31" max="31"/>
    <col width="5.85546875" customWidth="1" min="32" max="32"/>
    <col width="5.42578125" customWidth="1" min="33" max="33"/>
    <col width="2.7109375" customWidth="1" min="34" max="34"/>
    <col width="5.85546875" customWidth="1" min="35" max="35"/>
    <col width="5.42578125" customWidth="1" min="36" max="36"/>
    <col width="2.7109375" customWidth="1" min="37" max="37"/>
    <col width="5.85546875" customWidth="1" min="38" max="38"/>
    <col width="5.42578125" customWidth="1" min="39" max="39"/>
    <col width="2.7109375" customWidth="1" min="40" max="40"/>
    <col width="5.85546875" customWidth="1" min="41" max="41"/>
    <col width="5.42578125" customWidth="1" min="42" max="42"/>
    <col width="2.7109375" customWidth="1" min="43" max="43"/>
    <col width="5.85546875" customWidth="1" min="44" max="44"/>
    <col width="5.42578125" customWidth="1" min="45" max="45"/>
    <col width="2.7109375" customWidth="1" min="46" max="46"/>
    <col width="5.85546875" customWidth="1" min="47" max="47"/>
    <col width="5.42578125" customWidth="1" min="48" max="48"/>
    <col width="2.7109375" customWidth="1" min="49" max="49"/>
    <col width="5.85546875" customWidth="1" min="50" max="50"/>
    <col width="5.42578125" customWidth="1" min="51" max="51"/>
    <col width="2.7109375" customWidth="1" min="52" max="52"/>
    <col width="5.85546875" customWidth="1" min="53" max="53"/>
    <col width="5.42578125" customWidth="1" min="54" max="54"/>
    <col width="2.7109375" customWidth="1" min="55" max="55"/>
    <col width="5.85546875" customWidth="1" min="56" max="56"/>
    <col width="5.42578125" customWidth="1" min="57" max="57"/>
    <col width="2.7109375" customWidth="1" min="58" max="58"/>
    <col width="5.85546875" customWidth="1" min="59" max="59"/>
    <col width="5.42578125" customWidth="1" min="60" max="60"/>
    <col width="2.7109375" customWidth="1" min="61" max="61"/>
    <col width="5.85546875" customWidth="1" min="62" max="62"/>
    <col width="5.42578125" customWidth="1" min="63" max="63"/>
    <col width="2.7109375" customWidth="1" min="64" max="64"/>
    <col width="5.85546875" customWidth="1" min="65" max="65"/>
    <col width="5.42578125" customWidth="1" min="66" max="66"/>
    <col width="2.7109375" customWidth="1" min="67" max="67"/>
    <col width="5.85546875" customWidth="1" min="68" max="68"/>
    <col width="5.42578125" customWidth="1" min="69" max="69"/>
    <col width="11.42578125" customWidth="1" min="70" max="70"/>
  </cols>
  <sheetData>
    <row r="1" ht="28.5" customHeight="1">
      <c r="B1" s="1" t="inlineStr">
        <is>
          <t>Metodologías ágiles: Lista de tareas de la iteración (Sprint 2)</t>
        </is>
      </c>
    </row>
    <row r="2" ht="28.5" customHeight="1">
      <c r="B2" s="12" t="inlineStr">
        <is>
          <t>Sprint Goal: Habilitar el flujo de reporte operativo para que los encargados generen tickets formales con evidencia fotográfica (cero WhatsApp).</t>
        </is>
      </c>
    </row>
    <row r="3" ht="21" customHeight="1">
      <c r="B3" s="2" t="inlineStr">
        <is>
          <t>Elaborado por: pmoinformatica.com</t>
        </is>
      </c>
    </row>
    <row r="4">
      <c r="H4" s="3" t="inlineStr">
        <is>
          <t>Día 1</t>
        </is>
      </c>
      <c r="I4" s="4" t="n"/>
      <c r="J4" s="5" t="n"/>
      <c r="K4" s="3" t="inlineStr">
        <is>
          <t>Día 2</t>
        </is>
      </c>
      <c r="L4" s="4" t="n"/>
      <c r="M4" s="5" t="n"/>
      <c r="N4" s="3" t="inlineStr">
        <is>
          <t>Día 3</t>
        </is>
      </c>
      <c r="O4" s="4" t="n"/>
      <c r="P4" s="5" t="n"/>
      <c r="Q4" s="3" t="inlineStr">
        <is>
          <t>Día 4</t>
        </is>
      </c>
      <c r="R4" s="4" t="n"/>
      <c r="S4" s="5" t="n"/>
      <c r="T4" s="3" t="inlineStr">
        <is>
          <t>Día 5</t>
        </is>
      </c>
      <c r="U4" s="4" t="n"/>
      <c r="V4" s="5" t="n"/>
      <c r="W4" s="3" t="inlineStr">
        <is>
          <t>Día 6</t>
        </is>
      </c>
      <c r="X4" s="4" t="n"/>
      <c r="Y4" s="5" t="n"/>
      <c r="Z4" s="3" t="inlineStr">
        <is>
          <t>Día 7</t>
        </is>
      </c>
      <c r="AA4" s="4" t="n"/>
      <c r="AB4" s="5" t="n"/>
      <c r="AC4" s="3" t="inlineStr">
        <is>
          <t>Día 8</t>
        </is>
      </c>
      <c r="AD4" s="4" t="n"/>
      <c r="AE4" s="5" t="n"/>
      <c r="AF4" s="3" t="inlineStr">
        <is>
          <t>Día 9</t>
        </is>
      </c>
      <c r="AG4" s="4" t="n"/>
      <c r="AH4" s="5" t="n"/>
      <c r="AI4" s="3" t="inlineStr">
        <is>
          <t>Día 10</t>
        </is>
      </c>
      <c r="AJ4" s="4" t="n"/>
      <c r="AK4" s="5" t="n"/>
      <c r="AL4" s="3" t="inlineStr">
        <is>
          <t>Día 11</t>
        </is>
      </c>
      <c r="AM4" s="4" t="n"/>
      <c r="AN4" s="5" t="n"/>
      <c r="AO4" s="3" t="inlineStr">
        <is>
          <t>Día 12</t>
        </is>
      </c>
      <c r="AP4" s="4" t="n"/>
      <c r="AQ4" s="5" t="n"/>
      <c r="AR4" s="3" t="inlineStr">
        <is>
          <t>Día 13</t>
        </is>
      </c>
      <c r="AS4" s="4" t="n"/>
      <c r="AT4" s="5" t="n"/>
      <c r="AU4" s="3" t="inlineStr">
        <is>
          <t>Día 14</t>
        </is>
      </c>
      <c r="AV4" s="4" t="n"/>
      <c r="AW4" s="5" t="n"/>
      <c r="AX4" s="3" t="inlineStr">
        <is>
          <t>Día 15</t>
        </is>
      </c>
      <c r="AY4" s="4" t="n"/>
      <c r="AZ4" s="5" t="n"/>
      <c r="BA4" s="3" t="inlineStr">
        <is>
          <t>Día 16</t>
        </is>
      </c>
      <c r="BB4" s="4" t="n"/>
      <c r="BC4" s="5" t="n"/>
      <c r="BD4" s="3" t="inlineStr">
        <is>
          <t>Día 17</t>
        </is>
      </c>
      <c r="BE4" s="4" t="n"/>
      <c r="BF4" s="5" t="n"/>
      <c r="BG4" s="3" t="inlineStr">
        <is>
          <t>Día 18</t>
        </is>
      </c>
      <c r="BH4" s="4" t="n"/>
      <c r="BI4" s="5" t="n"/>
      <c r="BJ4" s="3" t="inlineStr">
        <is>
          <t>Día 19</t>
        </is>
      </c>
      <c r="BK4" s="4" t="n"/>
      <c r="BL4" s="5" t="n"/>
      <c r="BM4" s="3" t="inlineStr">
        <is>
          <t>Día 20</t>
        </is>
      </c>
      <c r="BN4" s="4" t="n"/>
      <c r="BO4" s="5" t="n"/>
      <c r="BP4" s="3" t="inlineStr">
        <is>
          <t>Total</t>
        </is>
      </c>
      <c r="BQ4" s="4" t="n"/>
    </row>
    <row r="5" ht="45" customHeight="1">
      <c r="B5" s="3" t="inlineStr">
        <is>
          <t>Identificador (ID) de item de product backlog</t>
        </is>
      </c>
      <c r="C5" s="3" t="inlineStr">
        <is>
          <t>Enunciado del item de Product Backlog</t>
        </is>
      </c>
      <c r="D5" s="3" t="inlineStr">
        <is>
          <t>Tarea</t>
        </is>
      </c>
      <c r="E5" s="3" t="inlineStr">
        <is>
          <t>Dueño / Voluntario</t>
        </is>
      </c>
      <c r="F5" s="3" t="inlineStr">
        <is>
          <t>Estatus</t>
        </is>
      </c>
      <c r="G5" s="3" t="inlineStr">
        <is>
          <t>Horas estimadas totales</t>
        </is>
      </c>
      <c r="H5" s="6" t="inlineStr">
        <is>
          <t>Cons.</t>
        </is>
      </c>
      <c r="I5" s="6" t="inlineStr">
        <is>
          <t>Rest.</t>
        </is>
      </c>
      <c r="J5" s="6" t="n"/>
      <c r="K5" s="6" t="inlineStr">
        <is>
          <t>Cons.</t>
        </is>
      </c>
      <c r="L5" s="6" t="inlineStr">
        <is>
          <t>Rest.</t>
        </is>
      </c>
      <c r="M5" s="6" t="n"/>
      <c r="N5" s="6" t="inlineStr">
        <is>
          <t>Cons.</t>
        </is>
      </c>
      <c r="O5" s="6" t="inlineStr">
        <is>
          <t>Rest.</t>
        </is>
      </c>
      <c r="P5" s="6" t="n"/>
      <c r="Q5" s="6" t="inlineStr">
        <is>
          <t>Cons.</t>
        </is>
      </c>
      <c r="R5" s="6" t="inlineStr">
        <is>
          <t>Rest.</t>
        </is>
      </c>
      <c r="S5" s="6" t="n"/>
      <c r="T5" s="6" t="inlineStr">
        <is>
          <t>Cons.</t>
        </is>
      </c>
      <c r="U5" s="6" t="inlineStr">
        <is>
          <t>Rest.</t>
        </is>
      </c>
      <c r="V5" s="6" t="n"/>
      <c r="W5" s="6" t="inlineStr">
        <is>
          <t>Cons.</t>
        </is>
      </c>
      <c r="X5" s="6" t="inlineStr">
        <is>
          <t>Rest.</t>
        </is>
      </c>
      <c r="Y5" s="6" t="n"/>
      <c r="Z5" s="6" t="inlineStr">
        <is>
          <t>Cons.</t>
        </is>
      </c>
      <c r="AA5" s="6" t="inlineStr">
        <is>
          <t>Rest.</t>
        </is>
      </c>
      <c r="AB5" s="6" t="n"/>
      <c r="AC5" s="6" t="inlineStr">
        <is>
          <t>Cons.</t>
        </is>
      </c>
      <c r="AD5" s="6" t="inlineStr">
        <is>
          <t>Rest.</t>
        </is>
      </c>
      <c r="AE5" s="6" t="n"/>
      <c r="AF5" s="6" t="inlineStr">
        <is>
          <t>Cons.</t>
        </is>
      </c>
      <c r="AG5" s="6" t="inlineStr">
        <is>
          <t>Rest.</t>
        </is>
      </c>
      <c r="AH5" s="6" t="n"/>
      <c r="AI5" s="6" t="inlineStr">
        <is>
          <t>Cons.</t>
        </is>
      </c>
      <c r="AJ5" s="6" t="inlineStr">
        <is>
          <t>Rest.</t>
        </is>
      </c>
      <c r="AK5" s="6" t="n"/>
      <c r="AL5" s="6" t="inlineStr">
        <is>
          <t>Cons.</t>
        </is>
      </c>
      <c r="AM5" s="6" t="inlineStr">
        <is>
          <t>Rest.</t>
        </is>
      </c>
      <c r="AN5" s="6" t="n"/>
      <c r="AO5" s="6" t="inlineStr">
        <is>
          <t>Cons.</t>
        </is>
      </c>
      <c r="AP5" s="6" t="inlineStr">
        <is>
          <t>Rest.</t>
        </is>
      </c>
      <c r="AQ5" s="6" t="n"/>
      <c r="AR5" s="6" t="inlineStr">
        <is>
          <t>Cons.</t>
        </is>
      </c>
      <c r="AS5" s="6" t="inlineStr">
        <is>
          <t>Rest.</t>
        </is>
      </c>
      <c r="AT5" s="6" t="n"/>
      <c r="AU5" s="6" t="inlineStr">
        <is>
          <t>Cons.</t>
        </is>
      </c>
      <c r="AV5" s="6" t="inlineStr">
        <is>
          <t>Rest.</t>
        </is>
      </c>
      <c r="AW5" s="6" t="n"/>
      <c r="AX5" s="6" t="inlineStr">
        <is>
          <t>Cons.</t>
        </is>
      </c>
      <c r="AY5" s="6" t="inlineStr">
        <is>
          <t>Rest.</t>
        </is>
      </c>
      <c r="AZ5" s="6" t="n"/>
      <c r="BA5" s="6" t="inlineStr">
        <is>
          <t>Cons.</t>
        </is>
      </c>
      <c r="BB5" s="6" t="inlineStr">
        <is>
          <t>Rest.</t>
        </is>
      </c>
      <c r="BC5" s="6" t="n"/>
      <c r="BD5" s="6" t="inlineStr">
        <is>
          <t>Cons.</t>
        </is>
      </c>
      <c r="BE5" s="6" t="inlineStr">
        <is>
          <t>Rest.</t>
        </is>
      </c>
      <c r="BF5" s="6" t="n"/>
      <c r="BG5" s="6" t="inlineStr">
        <is>
          <t>Cons.</t>
        </is>
      </c>
      <c r="BH5" s="6" t="inlineStr">
        <is>
          <t>Rest.</t>
        </is>
      </c>
      <c r="BI5" s="6" t="n"/>
      <c r="BJ5" s="6" t="inlineStr">
        <is>
          <t>Cons.</t>
        </is>
      </c>
      <c r="BK5" s="6" t="inlineStr">
        <is>
          <t>Rest.</t>
        </is>
      </c>
      <c r="BL5" s="6" t="n"/>
      <c r="BM5" s="6" t="inlineStr">
        <is>
          <t>Cons.</t>
        </is>
      </c>
      <c r="BN5" s="6" t="inlineStr">
        <is>
          <t>Rest.</t>
        </is>
      </c>
      <c r="BO5" s="6" t="n"/>
      <c r="BP5" s="6" t="inlineStr">
        <is>
          <t>Cons.</t>
        </is>
      </c>
      <c r="BQ5" s="6" t="inlineStr">
        <is>
          <t>Rest.</t>
        </is>
      </c>
      <c r="BS5" t="inlineStr">
        <is>
          <t>Clave Jira</t>
        </is>
      </c>
    </row>
    <row r="6" ht="24" customHeight="1">
      <c r="B6" s="7" t="inlineStr">
        <is>
          <t>HU-01</t>
        </is>
      </c>
      <c r="C6" s="7" t="inlineStr">
        <is>
          <t>[Prioridad: Alta] Como Encargado de Local, quiero seleccionar mi sucursal y equipo averiado desde un catálogo para reportar una falla sin usar QR.</t>
        </is>
      </c>
      <c r="D6" s="7" t="inlineStr">
        <is>
          <t>Interfaz UI y catálogo de selección manual de activos (sin QR)</t>
        </is>
      </c>
      <c r="E6" s="7" t="inlineStr">
        <is>
          <t>Elías Guala</t>
        </is>
      </c>
      <c r="F6" s="7" t="inlineStr">
        <is>
          <t>No Iniciado</t>
        </is>
      </c>
      <c r="G6" s="7" t="n">
        <v>28</v>
      </c>
      <c r="H6" s="13" t="n">
        <v>0</v>
      </c>
      <c r="I6" s="13">
        <f>G6-H6</f>
        <v/>
      </c>
      <c r="J6" s="9" t="n"/>
      <c r="K6" s="13" t="n">
        <v>0</v>
      </c>
      <c r="L6" s="13">
        <f>I6-K6</f>
        <v/>
      </c>
      <c r="M6" s="9" t="n"/>
      <c r="N6" s="13" t="n">
        <v>0</v>
      </c>
      <c r="O6" s="13">
        <f>L6-N6</f>
        <v/>
      </c>
      <c r="P6" s="9" t="n"/>
      <c r="Q6" s="13" t="n">
        <v>0</v>
      </c>
      <c r="R6" s="13">
        <f>O6-Q6</f>
        <v/>
      </c>
      <c r="S6" s="9" t="n"/>
      <c r="T6" s="13" t="n">
        <v>0</v>
      </c>
      <c r="U6" s="13">
        <f>R6-T6</f>
        <v/>
      </c>
      <c r="V6" s="9" t="n"/>
      <c r="W6" s="13" t="n">
        <v>0</v>
      </c>
      <c r="X6" s="13">
        <f>U6-W6</f>
        <v/>
      </c>
      <c r="Y6" s="9" t="n"/>
      <c r="Z6" s="13" t="n">
        <v>0</v>
      </c>
      <c r="AA6" s="13">
        <f>X6-Z6</f>
        <v/>
      </c>
      <c r="AB6" s="9" t="n"/>
      <c r="AC6" s="13" t="n">
        <v>0</v>
      </c>
      <c r="AD6" s="13">
        <f>AA6-AC6</f>
        <v/>
      </c>
      <c r="AE6" s="9" t="n"/>
      <c r="AF6" s="13" t="n">
        <v>0</v>
      </c>
      <c r="AG6" s="13">
        <f>AD6-AF6</f>
        <v/>
      </c>
      <c r="AH6" s="9" t="n"/>
      <c r="AI6" s="13" t="n">
        <v>0</v>
      </c>
      <c r="AJ6" s="13">
        <f>AG6-AI6</f>
        <v/>
      </c>
      <c r="AK6" s="9" t="n"/>
      <c r="AL6" s="13" t="n">
        <v>0</v>
      </c>
      <c r="AM6" s="13">
        <f>AJ6-AL6</f>
        <v/>
      </c>
      <c r="AN6" s="9" t="n"/>
      <c r="AO6" s="13" t="n">
        <v>0</v>
      </c>
      <c r="AP6" s="13">
        <f>AM6-AO6</f>
        <v/>
      </c>
      <c r="AQ6" s="9" t="n"/>
      <c r="AR6" s="13" t="n">
        <v>0</v>
      </c>
      <c r="AS6" s="13">
        <f>AP6-AR6</f>
        <v/>
      </c>
      <c r="AT6" s="9" t="n"/>
      <c r="AU6" s="13" t="n">
        <v>0</v>
      </c>
      <c r="AV6" s="13">
        <f>AS6-AU6</f>
        <v/>
      </c>
      <c r="AW6" s="9" t="n"/>
      <c r="AX6" s="13" t="n">
        <v>0</v>
      </c>
      <c r="AY6" s="13">
        <f>AV6-AX6</f>
        <v/>
      </c>
      <c r="AZ6" s="9" t="n"/>
      <c r="BA6" s="13" t="n">
        <v>0</v>
      </c>
      <c r="BB6" s="13">
        <f>AY6-BA6</f>
        <v/>
      </c>
      <c r="BC6" s="9" t="n"/>
      <c r="BD6" s="13" t="n">
        <v>0</v>
      </c>
      <c r="BE6" s="13">
        <f>BB6-BD6</f>
        <v/>
      </c>
      <c r="BF6" s="9" t="n"/>
      <c r="BG6" s="13" t="n">
        <v>0</v>
      </c>
      <c r="BH6" s="13">
        <f>BE6-BG6</f>
        <v/>
      </c>
      <c r="BI6" s="9" t="n"/>
      <c r="BJ6" s="13" t="n">
        <v>0</v>
      </c>
      <c r="BK6" s="13">
        <f>BH6-BJ6</f>
        <v/>
      </c>
      <c r="BL6" s="9" t="n"/>
      <c r="BM6" s="13" t="n">
        <v>0</v>
      </c>
      <c r="BN6" s="13">
        <f>BK6-BM6</f>
        <v/>
      </c>
      <c r="BO6" s="9" t="n"/>
      <c r="BP6" s="14">
        <f>H6+K6+N6+Q6+T6+W6+Z6+AC6+AF6+AI6+AL6+AO6+AR6+AU6+AX6+BA6+BD6+BG6+BJ6+BM6</f>
        <v/>
      </c>
      <c r="BQ6" s="14">
        <f>BN6</f>
        <v/>
      </c>
      <c r="BS6" t="inlineStr">
        <is>
          <t>SMX-69</t>
        </is>
      </c>
    </row>
    <row r="7" ht="24" customHeight="1">
      <c r="B7" s="7" t="inlineStr">
        <is>
          <t>HU-02</t>
        </is>
      </c>
      <c r="C7" s="7" t="inlineStr">
        <is>
          <t>[Prioridad: Alta] Como Encargado de Local, quiero detallar la falla del activo para generar un ticket oficial de incidencia.</t>
        </is>
      </c>
      <c r="D7" s="7" t="inlineStr">
        <is>
          <t>Backend y API para registro de incidencias y tickets</t>
        </is>
      </c>
      <c r="E7" s="7" t="inlineStr">
        <is>
          <t>Elías Guala</t>
        </is>
      </c>
      <c r="F7" s="7" t="inlineStr">
        <is>
          <t>No Iniciado</t>
        </is>
      </c>
      <c r="G7" s="7" t="n">
        <v>28</v>
      </c>
      <c r="H7" s="13" t="n">
        <v>0</v>
      </c>
      <c r="I7" s="13">
        <f>G7-H7</f>
        <v/>
      </c>
      <c r="J7" s="9" t="n"/>
      <c r="K7" s="13" t="n">
        <v>0</v>
      </c>
      <c r="L7" s="13">
        <f>I7-K7</f>
        <v/>
      </c>
      <c r="M7" s="9" t="n"/>
      <c r="N7" s="13" t="n">
        <v>0</v>
      </c>
      <c r="O7" s="13">
        <f>L7-N7</f>
        <v/>
      </c>
      <c r="P7" s="9" t="n"/>
      <c r="Q7" s="13" t="n">
        <v>0</v>
      </c>
      <c r="R7" s="13">
        <f>O7-Q7</f>
        <v/>
      </c>
      <c r="S7" s="9" t="n"/>
      <c r="T7" s="13" t="n">
        <v>0</v>
      </c>
      <c r="U7" s="13">
        <f>R7-T7</f>
        <v/>
      </c>
      <c r="V7" s="9" t="n"/>
      <c r="W7" s="13" t="n">
        <v>0</v>
      </c>
      <c r="X7" s="13">
        <f>U7-W7</f>
        <v/>
      </c>
      <c r="Y7" s="9" t="n"/>
      <c r="Z7" s="13" t="n">
        <v>0</v>
      </c>
      <c r="AA7" s="13">
        <f>X7-Z7</f>
        <v/>
      </c>
      <c r="AB7" s="9" t="n"/>
      <c r="AC7" s="13" t="n">
        <v>0</v>
      </c>
      <c r="AD7" s="13">
        <f>AA7-AC7</f>
        <v/>
      </c>
      <c r="AE7" s="9" t="n"/>
      <c r="AF7" s="13" t="n">
        <v>0</v>
      </c>
      <c r="AG7" s="13">
        <f>AD7-AF7</f>
        <v/>
      </c>
      <c r="AH7" s="9" t="n"/>
      <c r="AI7" s="13" t="n">
        <v>0</v>
      </c>
      <c r="AJ7" s="13">
        <f>AG7-AI7</f>
        <v/>
      </c>
      <c r="AK7" s="9" t="n"/>
      <c r="AL7" s="13" t="n">
        <v>0</v>
      </c>
      <c r="AM7" s="13">
        <f>AJ7-AL7</f>
        <v/>
      </c>
      <c r="AN7" s="9" t="n"/>
      <c r="AO7" s="13" t="n">
        <v>0</v>
      </c>
      <c r="AP7" s="13">
        <f>AM7-AO7</f>
        <v/>
      </c>
      <c r="AQ7" s="9" t="n"/>
      <c r="AR7" s="13" t="n">
        <v>0</v>
      </c>
      <c r="AS7" s="13">
        <f>AP7-AR7</f>
        <v/>
      </c>
      <c r="AT7" s="9" t="n"/>
      <c r="AU7" s="13" t="n">
        <v>0</v>
      </c>
      <c r="AV7" s="13">
        <f>AS7-AU7</f>
        <v/>
      </c>
      <c r="AW7" s="9" t="n"/>
      <c r="AX7" s="13" t="n">
        <v>0</v>
      </c>
      <c r="AY7" s="13">
        <f>AV7-AX7</f>
        <v/>
      </c>
      <c r="AZ7" s="9" t="n"/>
      <c r="BA7" s="13" t="n">
        <v>0</v>
      </c>
      <c r="BB7" s="13">
        <f>AY7-BA7</f>
        <v/>
      </c>
      <c r="BC7" s="9" t="n"/>
      <c r="BD7" s="13" t="n">
        <v>0</v>
      </c>
      <c r="BE7" s="13">
        <f>BB7-BD7</f>
        <v/>
      </c>
      <c r="BF7" s="9" t="n"/>
      <c r="BG7" s="13" t="n">
        <v>0</v>
      </c>
      <c r="BH7" s="13">
        <f>BE7-BG7</f>
        <v/>
      </c>
      <c r="BI7" s="9" t="n"/>
      <c r="BJ7" s="13" t="n">
        <v>0</v>
      </c>
      <c r="BK7" s="13">
        <f>BH7-BJ7</f>
        <v/>
      </c>
      <c r="BL7" s="9" t="n"/>
      <c r="BM7" s="13" t="n">
        <v>0</v>
      </c>
      <c r="BN7" s="13">
        <f>BK7-BM7</f>
        <v/>
      </c>
      <c r="BO7" s="9" t="n"/>
      <c r="BP7" s="14">
        <f>H7+K7+N7+Q7+T7+W7+Z7+AC7+AF7+AI7+AL7+AO7+AR7+AU7+AX7+BA7+BD7+BG7+BJ7+BM7</f>
        <v/>
      </c>
      <c r="BQ7" s="14">
        <f>BN7</f>
        <v/>
      </c>
      <c r="BS7" t="inlineStr">
        <is>
          <t>SMX-70</t>
        </is>
      </c>
    </row>
    <row r="8" ht="24" customHeight="1">
      <c r="B8" s="7" t="inlineStr">
        <is>
          <t>HU-03</t>
        </is>
      </c>
      <c r="C8" s="7" t="inlineStr">
        <is>
          <t>[Prioridad: Alta] Como Encargado de Local, quiero adjuntar fotografías de la falla para entregar contexto visual a los técnicos.</t>
        </is>
      </c>
      <c r="D8" s="7" t="inlineStr">
        <is>
          <t>Configuración de storage y backend para carga de imágenes</t>
        </is>
      </c>
      <c r="E8" s="7" t="inlineStr">
        <is>
          <t>Elías Guala</t>
        </is>
      </c>
      <c r="F8" s="7" t="inlineStr">
        <is>
          <t>No Iniciado</t>
        </is>
      </c>
      <c r="G8" s="7" t="n">
        <v>28</v>
      </c>
      <c r="H8" s="13" t="n">
        <v>0</v>
      </c>
      <c r="I8" s="13">
        <f>G8-H8</f>
        <v/>
      </c>
      <c r="J8" s="9" t="n"/>
      <c r="K8" s="13" t="n">
        <v>0</v>
      </c>
      <c r="L8" s="13">
        <f>I8-K8</f>
        <v/>
      </c>
      <c r="M8" s="9" t="n"/>
      <c r="N8" s="13" t="n">
        <v>0</v>
      </c>
      <c r="O8" s="13">
        <f>L8-N8</f>
        <v/>
      </c>
      <c r="P8" s="9" t="n"/>
      <c r="Q8" s="13" t="n">
        <v>0</v>
      </c>
      <c r="R8" s="13">
        <f>O8-Q8</f>
        <v/>
      </c>
      <c r="S8" s="9" t="n"/>
      <c r="T8" s="13" t="n">
        <v>0</v>
      </c>
      <c r="U8" s="13">
        <f>R8-T8</f>
        <v/>
      </c>
      <c r="V8" s="9" t="n"/>
      <c r="W8" s="13" t="n">
        <v>0</v>
      </c>
      <c r="X8" s="13">
        <f>U8-W8</f>
        <v/>
      </c>
      <c r="Y8" s="9" t="n"/>
      <c r="Z8" s="13" t="n">
        <v>0</v>
      </c>
      <c r="AA8" s="13">
        <f>X8-Z8</f>
        <v/>
      </c>
      <c r="AB8" s="9" t="n"/>
      <c r="AC8" s="13" t="n">
        <v>0</v>
      </c>
      <c r="AD8" s="13">
        <f>AA8-AC8</f>
        <v/>
      </c>
      <c r="AE8" s="9" t="n"/>
      <c r="AF8" s="13" t="n">
        <v>0</v>
      </c>
      <c r="AG8" s="13">
        <f>AD8-AF8</f>
        <v/>
      </c>
      <c r="AH8" s="9" t="n"/>
      <c r="AI8" s="13" t="n">
        <v>0</v>
      </c>
      <c r="AJ8" s="13">
        <f>AG8-AI8</f>
        <v/>
      </c>
      <c r="AK8" s="9" t="n"/>
      <c r="AL8" s="13" t="n">
        <v>0</v>
      </c>
      <c r="AM8" s="13">
        <f>AJ8-AL8</f>
        <v/>
      </c>
      <c r="AN8" s="9" t="n"/>
      <c r="AO8" s="13" t="n">
        <v>0</v>
      </c>
      <c r="AP8" s="13">
        <f>AM8-AO8</f>
        <v/>
      </c>
      <c r="AQ8" s="9" t="n"/>
      <c r="AR8" s="13" t="n">
        <v>0</v>
      </c>
      <c r="AS8" s="13">
        <f>AP8-AR8</f>
        <v/>
      </c>
      <c r="AT8" s="9" t="n"/>
      <c r="AU8" s="13" t="n">
        <v>0</v>
      </c>
      <c r="AV8" s="13">
        <f>AS8-AU8</f>
        <v/>
      </c>
      <c r="AW8" s="9" t="n"/>
      <c r="AX8" s="13" t="n">
        <v>0</v>
      </c>
      <c r="AY8" s="13">
        <f>AV8-AX8</f>
        <v/>
      </c>
      <c r="AZ8" s="9" t="n"/>
      <c r="BA8" s="13" t="n">
        <v>0</v>
      </c>
      <c r="BB8" s="13">
        <f>AY8-BA8</f>
        <v/>
      </c>
      <c r="BC8" s="9" t="n"/>
      <c r="BD8" s="13" t="n">
        <v>0</v>
      </c>
      <c r="BE8" s="13">
        <f>BB8-BD8</f>
        <v/>
      </c>
      <c r="BF8" s="9" t="n"/>
      <c r="BG8" s="13" t="n">
        <v>0</v>
      </c>
      <c r="BH8" s="13">
        <f>BE8-BG8</f>
        <v/>
      </c>
      <c r="BI8" s="9" t="n"/>
      <c r="BJ8" s="13" t="n">
        <v>0</v>
      </c>
      <c r="BK8" s="13">
        <f>BH8-BJ8</f>
        <v/>
      </c>
      <c r="BL8" s="9" t="n"/>
      <c r="BM8" s="13" t="n">
        <v>0</v>
      </c>
      <c r="BN8" s="13">
        <f>BK8-BM8</f>
        <v/>
      </c>
      <c r="BO8" s="9" t="n"/>
      <c r="BP8" s="14">
        <f>H8+K8+N8+Q8+T8+W8+Z8+AC8+AF8+AI8+AL8+AO8+AR8+AU8+AX8+BA8+BD8+BG8+BJ8+BM8</f>
        <v/>
      </c>
      <c r="BQ8" s="14">
        <f>BN8</f>
        <v/>
      </c>
      <c r="BS8" t="inlineStr">
        <is>
          <t>SMX-71</t>
        </is>
      </c>
    </row>
    <row r="9" ht="24" customHeight="1">
      <c r="B9" s="15" t="inlineStr">
        <is>
          <t>HU-03</t>
        </is>
      </c>
      <c r="C9" s="16" t="inlineStr">
        <is>
          <t>[Prioridad: Alta] Como Encargado de Local, quiero adjuntar fotografías de la falla para entregar contexto visual a los técnicos.</t>
        </is>
      </c>
      <c r="D9" s="7" t="inlineStr">
        <is>
          <t>UI y validación de subida fotográfica (formatos y límites)</t>
        </is>
      </c>
      <c r="E9" s="7" t="inlineStr">
        <is>
          <t>Elías Guala</t>
        </is>
      </c>
      <c r="F9" s="7" t="inlineStr">
        <is>
          <t>No Iniciado</t>
        </is>
      </c>
      <c r="G9" s="7" t="n">
        <v>28</v>
      </c>
      <c r="H9" s="13" t="n">
        <v>0</v>
      </c>
      <c r="I9" s="13">
        <f>G9-H9</f>
        <v/>
      </c>
      <c r="J9" s="9" t="n"/>
      <c r="K9" s="13" t="n">
        <v>0</v>
      </c>
      <c r="L9" s="13">
        <f>I9-K9</f>
        <v/>
      </c>
      <c r="M9" s="9" t="n"/>
      <c r="N9" s="13" t="n">
        <v>0</v>
      </c>
      <c r="O9" s="13">
        <f>L9-N9</f>
        <v/>
      </c>
      <c r="P9" s="9" t="n"/>
      <c r="Q9" s="13" t="n">
        <v>0</v>
      </c>
      <c r="R9" s="13">
        <f>O9-Q9</f>
        <v/>
      </c>
      <c r="S9" s="9" t="n"/>
      <c r="T9" s="13" t="n">
        <v>0</v>
      </c>
      <c r="U9" s="13">
        <f>R9-T9</f>
        <v/>
      </c>
      <c r="V9" s="9" t="n"/>
      <c r="W9" s="13" t="n">
        <v>0</v>
      </c>
      <c r="X9" s="13">
        <f>U9-W9</f>
        <v/>
      </c>
      <c r="Y9" s="9" t="n"/>
      <c r="Z9" s="13" t="n">
        <v>0</v>
      </c>
      <c r="AA9" s="13">
        <f>X9-Z9</f>
        <v/>
      </c>
      <c r="AB9" s="9" t="n"/>
      <c r="AC9" s="13" t="n">
        <v>0</v>
      </c>
      <c r="AD9" s="13">
        <f>AA9-AC9</f>
        <v/>
      </c>
      <c r="AE9" s="9" t="n"/>
      <c r="AF9" s="13" t="n">
        <v>0</v>
      </c>
      <c r="AG9" s="13">
        <f>AD9-AF9</f>
        <v/>
      </c>
      <c r="AH9" s="9" t="n"/>
      <c r="AI9" s="13" t="n">
        <v>0</v>
      </c>
      <c r="AJ9" s="13">
        <f>AG9-AI9</f>
        <v/>
      </c>
      <c r="AK9" s="9" t="n"/>
      <c r="AL9" s="13" t="n">
        <v>0</v>
      </c>
      <c r="AM9" s="13">
        <f>AJ9-AL9</f>
        <v/>
      </c>
      <c r="AN9" s="9" t="n"/>
      <c r="AO9" s="13" t="n">
        <v>0</v>
      </c>
      <c r="AP9" s="13">
        <f>AM9-AO9</f>
        <v/>
      </c>
      <c r="AQ9" s="9" t="n"/>
      <c r="AR9" s="13" t="n">
        <v>0</v>
      </c>
      <c r="AS9" s="13">
        <f>AP9-AR9</f>
        <v/>
      </c>
      <c r="AT9" s="9" t="n"/>
      <c r="AU9" s="13" t="n">
        <v>0</v>
      </c>
      <c r="AV9" s="13">
        <f>AS9-AU9</f>
        <v/>
      </c>
      <c r="AW9" s="9" t="n"/>
      <c r="AX9" s="13" t="n">
        <v>0</v>
      </c>
      <c r="AY9" s="13">
        <f>AV9-AX9</f>
        <v/>
      </c>
      <c r="AZ9" s="9" t="n"/>
      <c r="BA9" s="13" t="n">
        <v>0</v>
      </c>
      <c r="BB9" s="13">
        <f>AY9-BA9</f>
        <v/>
      </c>
      <c r="BC9" s="9" t="n"/>
      <c r="BD9" s="13" t="n">
        <v>0</v>
      </c>
      <c r="BE9" s="13">
        <f>BB9-BD9</f>
        <v/>
      </c>
      <c r="BF9" s="9" t="n"/>
      <c r="BG9" s="13" t="n">
        <v>0</v>
      </c>
      <c r="BH9" s="13">
        <f>BE9-BG9</f>
        <v/>
      </c>
      <c r="BI9" s="9" t="n"/>
      <c r="BJ9" s="13" t="n">
        <v>0</v>
      </c>
      <c r="BK9" s="13">
        <f>BH9-BJ9</f>
        <v/>
      </c>
      <c r="BL9" s="9" t="n"/>
      <c r="BM9" s="13" t="n">
        <v>0</v>
      </c>
      <c r="BN9" s="13">
        <f>BK9-BM9</f>
        <v/>
      </c>
      <c r="BO9" s="9" t="n"/>
      <c r="BP9" s="14">
        <f>H9+K9+N9+Q9+T9+W9+Z9+AC9+AF9+AI9+AL9+AO9+AR9+AU9+AX9+BA9+BD9+BG9+BJ9+BM9</f>
        <v/>
      </c>
      <c r="BQ9" s="14">
        <f>BN9</f>
        <v/>
      </c>
      <c r="BS9" t="inlineStr">
        <is>
          <t>SMX-72</t>
        </is>
      </c>
    </row>
    <row r="10" ht="24" customHeight="1">
      <c r="B10" s="7" t="inlineStr">
        <is>
          <t>HU-04</t>
        </is>
      </c>
      <c r="C10" s="7" t="inlineStr">
        <is>
          <t>[Prioridad: Media] Como Encargado de Local, quiero consultar el estado de mis tickets para conocer el avance de las reparaciones.</t>
        </is>
      </c>
      <c r="D10" s="7" t="inlineStr">
        <is>
          <t>Vista responsiva de historial de tickets por local</t>
        </is>
      </c>
      <c r="E10" s="7" t="inlineStr">
        <is>
          <t>Elías Guala</t>
        </is>
      </c>
      <c r="F10" s="7" t="inlineStr">
        <is>
          <t>No Iniciado</t>
        </is>
      </c>
      <c r="G10" s="7" t="n">
        <v>28</v>
      </c>
      <c r="H10" s="13" t="n">
        <v>0</v>
      </c>
      <c r="I10" s="13">
        <f>G10-H10</f>
        <v/>
      </c>
      <c r="J10" s="9" t="n"/>
      <c r="K10" s="13" t="n">
        <v>0</v>
      </c>
      <c r="L10" s="13">
        <f>I10-K10</f>
        <v/>
      </c>
      <c r="M10" s="9" t="n"/>
      <c r="N10" s="13" t="n">
        <v>0</v>
      </c>
      <c r="O10" s="13">
        <f>L10-N10</f>
        <v/>
      </c>
      <c r="P10" s="9" t="n"/>
      <c r="Q10" s="13" t="n">
        <v>0</v>
      </c>
      <c r="R10" s="13">
        <f>O10-Q10</f>
        <v/>
      </c>
      <c r="S10" s="9" t="n"/>
      <c r="T10" s="13" t="n">
        <v>0</v>
      </c>
      <c r="U10" s="13">
        <f>R10-T10</f>
        <v/>
      </c>
      <c r="V10" s="9" t="n"/>
      <c r="W10" s="13" t="n">
        <v>0</v>
      </c>
      <c r="X10" s="13">
        <f>U10-W10</f>
        <v/>
      </c>
      <c r="Y10" s="9" t="n"/>
      <c r="Z10" s="13" t="n">
        <v>0</v>
      </c>
      <c r="AA10" s="13">
        <f>X10-Z10</f>
        <v/>
      </c>
      <c r="AB10" s="9" t="n"/>
      <c r="AC10" s="13" t="n">
        <v>0</v>
      </c>
      <c r="AD10" s="13">
        <f>AA10-AC10</f>
        <v/>
      </c>
      <c r="AE10" s="9" t="n"/>
      <c r="AF10" s="13" t="n">
        <v>0</v>
      </c>
      <c r="AG10" s="13">
        <f>AD10-AF10</f>
        <v/>
      </c>
      <c r="AH10" s="9" t="n"/>
      <c r="AI10" s="13" t="n">
        <v>0</v>
      </c>
      <c r="AJ10" s="13">
        <f>AG10-AI10</f>
        <v/>
      </c>
      <c r="AK10" s="9" t="n"/>
      <c r="AL10" s="13" t="n">
        <v>0</v>
      </c>
      <c r="AM10" s="13">
        <f>AJ10-AL10</f>
        <v/>
      </c>
      <c r="AN10" s="9" t="n"/>
      <c r="AO10" s="13" t="n">
        <v>0</v>
      </c>
      <c r="AP10" s="13">
        <f>AM10-AO10</f>
        <v/>
      </c>
      <c r="AQ10" s="9" t="n"/>
      <c r="AR10" s="13" t="n">
        <v>0</v>
      </c>
      <c r="AS10" s="13">
        <f>AP10-AR10</f>
        <v/>
      </c>
      <c r="AT10" s="9" t="n"/>
      <c r="AU10" s="13" t="n">
        <v>0</v>
      </c>
      <c r="AV10" s="13">
        <f>AS10-AU10</f>
        <v/>
      </c>
      <c r="AW10" s="9" t="n"/>
      <c r="AX10" s="13" t="n">
        <v>0</v>
      </c>
      <c r="AY10" s="13">
        <f>AV10-AX10</f>
        <v/>
      </c>
      <c r="AZ10" s="9" t="n"/>
      <c r="BA10" s="13" t="n">
        <v>0</v>
      </c>
      <c r="BB10" s="13">
        <f>AY10-BA10</f>
        <v/>
      </c>
      <c r="BC10" s="9" t="n"/>
      <c r="BD10" s="13" t="n">
        <v>0</v>
      </c>
      <c r="BE10" s="13">
        <f>BB10-BD10</f>
        <v/>
      </c>
      <c r="BF10" s="9" t="n"/>
      <c r="BG10" s="13" t="n">
        <v>0</v>
      </c>
      <c r="BH10" s="13">
        <f>BE10-BG10</f>
        <v/>
      </c>
      <c r="BI10" s="9" t="n"/>
      <c r="BJ10" s="13" t="n">
        <v>0</v>
      </c>
      <c r="BK10" s="13">
        <f>BH10-BJ10</f>
        <v/>
      </c>
      <c r="BL10" s="9" t="n"/>
      <c r="BM10" s="13" t="n">
        <v>0</v>
      </c>
      <c r="BN10" s="13">
        <f>BK10-BM10</f>
        <v/>
      </c>
      <c r="BO10" s="9" t="n"/>
      <c r="BP10" s="14">
        <f>H10+K10+N10+Q10+T10+W10+Z10+AC10+AF10+AI10+AL10+AO10+AR10+AU10+AX10+BA10+BD10+BG10+BJ10+BM10</f>
        <v/>
      </c>
      <c r="BQ10" s="14">
        <f>BN10</f>
        <v/>
      </c>
      <c r="BS10" t="inlineStr">
        <is>
          <t>SMX-73</t>
        </is>
      </c>
    </row>
    <row r="11" ht="24" customHeight="1">
      <c r="B11" s="7" t="inlineStr">
        <is>
          <t>QA-02</t>
        </is>
      </c>
      <c r="C11" s="7" t="inlineStr">
        <is>
          <t>[Prioridad: Alta] Como Responsable de QA, quiero validar el flujo completo de reporte para asegurar su integridad y usabilidad.</t>
        </is>
      </c>
      <c r="D11" s="7" t="inlineStr">
        <is>
          <t>Validación funcional de reporte integral y subida de evidencia</t>
        </is>
      </c>
      <c r="E11" s="7" t="inlineStr">
        <is>
          <t>Maximiliano Duarte</t>
        </is>
      </c>
      <c r="F11" s="7" t="inlineStr">
        <is>
          <t>No Iniciado</t>
        </is>
      </c>
      <c r="G11" s="7" t="n">
        <v>28</v>
      </c>
      <c r="H11" s="13" t="n">
        <v>0</v>
      </c>
      <c r="I11" s="13">
        <f>G11-H11</f>
        <v/>
      </c>
      <c r="J11" s="9" t="n"/>
      <c r="K11" s="13" t="n">
        <v>0</v>
      </c>
      <c r="L11" s="13">
        <f>I11-K11</f>
        <v/>
      </c>
      <c r="M11" s="9" t="n"/>
      <c r="N11" s="13" t="n">
        <v>0</v>
      </c>
      <c r="O11" s="13">
        <f>L11-N11</f>
        <v/>
      </c>
      <c r="P11" s="9" t="n"/>
      <c r="Q11" s="13" t="n">
        <v>0</v>
      </c>
      <c r="R11" s="13">
        <f>O11-Q11</f>
        <v/>
      </c>
      <c r="S11" s="9" t="n"/>
      <c r="T11" s="13" t="n">
        <v>0</v>
      </c>
      <c r="U11" s="13">
        <f>R11-T11</f>
        <v/>
      </c>
      <c r="V11" s="9" t="n"/>
      <c r="W11" s="13" t="n">
        <v>0</v>
      </c>
      <c r="X11" s="13">
        <f>U11-W11</f>
        <v/>
      </c>
      <c r="Y11" s="9" t="n"/>
      <c r="Z11" s="13" t="n">
        <v>0</v>
      </c>
      <c r="AA11" s="13">
        <f>X11-Z11</f>
        <v/>
      </c>
      <c r="AB11" s="9" t="n"/>
      <c r="AC11" s="13" t="n">
        <v>0</v>
      </c>
      <c r="AD11" s="13">
        <f>AA11-AC11</f>
        <v/>
      </c>
      <c r="AE11" s="9" t="n"/>
      <c r="AF11" s="13" t="n">
        <v>0</v>
      </c>
      <c r="AG11" s="13">
        <f>AD11-AF11</f>
        <v/>
      </c>
      <c r="AH11" s="9" t="n"/>
      <c r="AI11" s="13" t="n">
        <v>0</v>
      </c>
      <c r="AJ11" s="13">
        <f>AG11-AI11</f>
        <v/>
      </c>
      <c r="AK11" s="9" t="n"/>
      <c r="AL11" s="13" t="n">
        <v>0</v>
      </c>
      <c r="AM11" s="13">
        <f>AJ11-AL11</f>
        <v/>
      </c>
      <c r="AN11" s="9" t="n"/>
      <c r="AO11" s="13" t="n">
        <v>0</v>
      </c>
      <c r="AP11" s="13">
        <f>AM11-AO11</f>
        <v/>
      </c>
      <c r="AQ11" s="9" t="n"/>
      <c r="AR11" s="13" t="n">
        <v>0</v>
      </c>
      <c r="AS11" s="13">
        <f>AP11-AR11</f>
        <v/>
      </c>
      <c r="AT11" s="9" t="n"/>
      <c r="AU11" s="13" t="n">
        <v>0</v>
      </c>
      <c r="AV11" s="13">
        <f>AS11-AU11</f>
        <v/>
      </c>
      <c r="AW11" s="9" t="n"/>
      <c r="AX11" s="13" t="n">
        <v>0</v>
      </c>
      <c r="AY11" s="13">
        <f>AV11-AX11</f>
        <v/>
      </c>
      <c r="AZ11" s="9" t="n"/>
      <c r="BA11" s="13" t="n">
        <v>0</v>
      </c>
      <c r="BB11" s="13">
        <f>AY11-BA11</f>
        <v/>
      </c>
      <c r="BC11" s="9" t="n"/>
      <c r="BD11" s="13" t="n">
        <v>0</v>
      </c>
      <c r="BE11" s="13">
        <f>BB11-BD11</f>
        <v/>
      </c>
      <c r="BF11" s="9" t="n"/>
      <c r="BG11" s="13" t="n">
        <v>0</v>
      </c>
      <c r="BH11" s="13">
        <f>BE11-BG11</f>
        <v/>
      </c>
      <c r="BI11" s="9" t="n"/>
      <c r="BJ11" s="13" t="n">
        <v>0</v>
      </c>
      <c r="BK11" s="13">
        <f>BH11-BJ11</f>
        <v/>
      </c>
      <c r="BL11" s="9" t="n"/>
      <c r="BM11" s="13" t="n">
        <v>0</v>
      </c>
      <c r="BN11" s="13">
        <f>BK11-BM11</f>
        <v/>
      </c>
      <c r="BO11" s="9" t="n"/>
      <c r="BP11" s="14">
        <f>H11+K11+N11+Q11+T11+W11+Z11+AC11+AF11+AI11+AL11+AO11+AR11+AU11+AX11+BA11+BD11+BG11+BJ11+BM11</f>
        <v/>
      </c>
      <c r="BQ11" s="14">
        <f>BN11</f>
        <v/>
      </c>
      <c r="BS11" t="inlineStr">
        <is>
          <t>SMX-49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S11"/>
  <sheetViews>
    <sheetView workbookViewId="0">
      <selection activeCell="A1" sqref="A1"/>
    </sheetView>
  </sheetViews>
  <sheetFormatPr baseColWidth="8" defaultRowHeight="15"/>
  <cols>
    <col width="1.42578125" customWidth="1" min="1" max="1"/>
    <col width="16.42578125" customWidth="1" min="2" max="2"/>
    <col width="34" customWidth="1" min="3" max="3"/>
    <col width="20.85546875" customWidth="1" min="4" max="4"/>
    <col width="10.42578125" customWidth="1" min="5" max="5"/>
    <col width="11.85546875" customWidth="1" min="6" max="6"/>
    <col width="15.42578125" customWidth="1" min="7" max="7"/>
    <col width="5.85546875" customWidth="1" min="8" max="8"/>
    <col width="5.42578125" customWidth="1" min="9" max="9"/>
    <col width="2.7109375" customWidth="1" min="10" max="10"/>
    <col width="5.85546875" customWidth="1" min="11" max="11"/>
    <col width="5.42578125" customWidth="1" min="12" max="12"/>
    <col width="2.7109375" customWidth="1" min="13" max="13"/>
    <col width="5.85546875" customWidth="1" min="14" max="14"/>
    <col width="5.42578125" customWidth="1" min="15" max="15"/>
    <col width="2.7109375" customWidth="1" min="16" max="16"/>
    <col width="5.85546875" customWidth="1" min="17" max="17"/>
    <col width="5.42578125" customWidth="1" min="18" max="18"/>
    <col width="2.7109375" customWidth="1" min="19" max="19"/>
    <col width="5.85546875" customWidth="1" min="20" max="20"/>
    <col width="5.42578125" customWidth="1" min="21" max="21"/>
    <col width="2.7109375" customWidth="1" min="22" max="22"/>
    <col width="5.85546875" customWidth="1" min="23" max="23"/>
    <col width="5.42578125" customWidth="1" min="24" max="24"/>
    <col width="2.7109375" customWidth="1" min="25" max="25"/>
    <col width="5.85546875" customWidth="1" min="26" max="26"/>
    <col width="5.42578125" customWidth="1" min="27" max="27"/>
    <col width="2.7109375" customWidth="1" min="28" max="28"/>
    <col width="5.85546875" customWidth="1" min="29" max="29"/>
    <col width="5.42578125" customWidth="1" min="30" max="30"/>
    <col width="2.7109375" customWidth="1" min="31" max="31"/>
    <col width="5.85546875" customWidth="1" min="32" max="32"/>
    <col width="5.42578125" customWidth="1" min="33" max="33"/>
    <col width="2.7109375" customWidth="1" min="34" max="34"/>
    <col width="5.85546875" customWidth="1" min="35" max="35"/>
    <col width="5.42578125" customWidth="1" min="36" max="36"/>
    <col width="2.7109375" customWidth="1" min="37" max="37"/>
    <col width="5.85546875" customWidth="1" min="38" max="38"/>
    <col width="5.42578125" customWidth="1" min="39" max="39"/>
    <col width="2.7109375" customWidth="1" min="40" max="40"/>
    <col width="5.85546875" customWidth="1" min="41" max="41"/>
    <col width="5.42578125" customWidth="1" min="42" max="42"/>
    <col width="2.7109375" customWidth="1" min="43" max="43"/>
    <col width="5.85546875" customWidth="1" min="44" max="44"/>
    <col width="5.42578125" customWidth="1" min="45" max="45"/>
    <col width="2.7109375" customWidth="1" min="46" max="46"/>
    <col width="5.85546875" customWidth="1" min="47" max="47"/>
    <col width="5.42578125" customWidth="1" min="48" max="48"/>
    <col width="2.7109375" customWidth="1" min="49" max="49"/>
    <col width="5.85546875" customWidth="1" min="50" max="50"/>
    <col width="5.42578125" customWidth="1" min="51" max="51"/>
    <col width="2.7109375" customWidth="1" min="52" max="52"/>
    <col width="5.85546875" customWidth="1" min="53" max="53"/>
    <col width="5.42578125" customWidth="1" min="54" max="54"/>
    <col width="2.7109375" customWidth="1" min="55" max="55"/>
    <col width="5.85546875" customWidth="1" min="56" max="56"/>
    <col width="5.42578125" customWidth="1" min="57" max="57"/>
    <col width="2.7109375" customWidth="1" min="58" max="58"/>
    <col width="5.85546875" customWidth="1" min="59" max="59"/>
    <col width="5.42578125" customWidth="1" min="60" max="60"/>
    <col width="2.7109375" customWidth="1" min="61" max="61"/>
    <col width="5.85546875" customWidth="1" min="62" max="62"/>
    <col width="5.42578125" customWidth="1" min="63" max="63"/>
    <col width="2.7109375" customWidth="1" min="64" max="64"/>
    <col width="5.85546875" customWidth="1" min="65" max="65"/>
    <col width="5.42578125" customWidth="1" min="66" max="66"/>
    <col width="2.7109375" customWidth="1" min="67" max="67"/>
    <col width="5.85546875" customWidth="1" min="68" max="68"/>
    <col width="5.42578125" customWidth="1" min="69" max="69"/>
    <col width="11.42578125" customWidth="1" min="70" max="70"/>
  </cols>
  <sheetData>
    <row r="1" ht="28.5" customHeight="1">
      <c r="B1" s="1" t="inlineStr">
        <is>
          <t>Metodologías ágiles: Lista de tareas de la iteración (Sprint 3)</t>
        </is>
      </c>
    </row>
    <row r="2" ht="28.5" customHeight="1">
      <c r="B2" s="12" t="inlineStr">
        <is>
          <t>Sprint Goal: Integrar el despacho de Órdenes de Trabajo (OT) hacia el portal móvil del técnico y activar el motor automatizado de SLA.</t>
        </is>
      </c>
    </row>
    <row r="3" ht="21" customHeight="1">
      <c r="B3" s="2" t="inlineStr">
        <is>
          <t>Elaborado por: pmoinformatica.com</t>
        </is>
      </c>
    </row>
    <row r="4">
      <c r="H4" s="3" t="inlineStr">
        <is>
          <t>Día 1</t>
        </is>
      </c>
      <c r="I4" s="4" t="n"/>
      <c r="J4" s="5" t="n"/>
      <c r="K4" s="3" t="inlineStr">
        <is>
          <t>Día 2</t>
        </is>
      </c>
      <c r="L4" s="4" t="n"/>
      <c r="M4" s="5" t="n"/>
      <c r="N4" s="3" t="inlineStr">
        <is>
          <t>Día 3</t>
        </is>
      </c>
      <c r="O4" s="4" t="n"/>
      <c r="P4" s="5" t="n"/>
      <c r="Q4" s="3" t="inlineStr">
        <is>
          <t>Día 4</t>
        </is>
      </c>
      <c r="R4" s="4" t="n"/>
      <c r="S4" s="5" t="n"/>
      <c r="T4" s="3" t="inlineStr">
        <is>
          <t>Día 5</t>
        </is>
      </c>
      <c r="U4" s="4" t="n"/>
      <c r="V4" s="5" t="n"/>
      <c r="W4" s="3" t="inlineStr">
        <is>
          <t>Día 6</t>
        </is>
      </c>
      <c r="X4" s="4" t="n"/>
      <c r="Y4" s="5" t="n"/>
      <c r="Z4" s="3" t="inlineStr">
        <is>
          <t>Día 7</t>
        </is>
      </c>
      <c r="AA4" s="4" t="n"/>
      <c r="AB4" s="5" t="n"/>
      <c r="AC4" s="3" t="inlineStr">
        <is>
          <t>Día 8</t>
        </is>
      </c>
      <c r="AD4" s="4" t="n"/>
      <c r="AE4" s="5" t="n"/>
      <c r="AF4" s="3" t="inlineStr">
        <is>
          <t>Día 9</t>
        </is>
      </c>
      <c r="AG4" s="4" t="n"/>
      <c r="AH4" s="5" t="n"/>
      <c r="AI4" s="3" t="inlineStr">
        <is>
          <t>Día 10</t>
        </is>
      </c>
      <c r="AJ4" s="4" t="n"/>
      <c r="AK4" s="5" t="n"/>
      <c r="AL4" s="3" t="inlineStr">
        <is>
          <t>Día 11</t>
        </is>
      </c>
      <c r="AM4" s="4" t="n"/>
      <c r="AN4" s="5" t="n"/>
      <c r="AO4" s="3" t="inlineStr">
        <is>
          <t>Día 12</t>
        </is>
      </c>
      <c r="AP4" s="4" t="n"/>
      <c r="AQ4" s="5" t="n"/>
      <c r="AR4" s="3" t="inlineStr">
        <is>
          <t>Día 13</t>
        </is>
      </c>
      <c r="AS4" s="4" t="n"/>
      <c r="AT4" s="5" t="n"/>
      <c r="AU4" s="3" t="inlineStr">
        <is>
          <t>Día 14</t>
        </is>
      </c>
      <c r="AV4" s="4" t="n"/>
      <c r="AW4" s="5" t="n"/>
      <c r="AX4" s="3" t="inlineStr">
        <is>
          <t>Día 15</t>
        </is>
      </c>
      <c r="AY4" s="4" t="n"/>
      <c r="AZ4" s="5" t="n"/>
      <c r="BA4" s="3" t="inlineStr">
        <is>
          <t>Día 16</t>
        </is>
      </c>
      <c r="BB4" s="4" t="n"/>
      <c r="BC4" s="5" t="n"/>
      <c r="BD4" s="3" t="inlineStr">
        <is>
          <t>Día 17</t>
        </is>
      </c>
      <c r="BE4" s="4" t="n"/>
      <c r="BF4" s="5" t="n"/>
      <c r="BG4" s="3" t="inlineStr">
        <is>
          <t>Día 18</t>
        </is>
      </c>
      <c r="BH4" s="4" t="n"/>
      <c r="BI4" s="5" t="n"/>
      <c r="BJ4" s="3" t="inlineStr">
        <is>
          <t>Día 19</t>
        </is>
      </c>
      <c r="BK4" s="4" t="n"/>
      <c r="BL4" s="5" t="n"/>
      <c r="BM4" s="3" t="inlineStr">
        <is>
          <t>Día 20</t>
        </is>
      </c>
      <c r="BN4" s="4" t="n"/>
      <c r="BO4" s="5" t="n"/>
      <c r="BP4" s="3" t="inlineStr">
        <is>
          <t>Total</t>
        </is>
      </c>
      <c r="BQ4" s="4" t="n"/>
    </row>
    <row r="5" ht="45" customHeight="1">
      <c r="B5" s="3" t="inlineStr">
        <is>
          <t>Identificador (ID) de item de product backlog</t>
        </is>
      </c>
      <c r="C5" s="3" t="inlineStr">
        <is>
          <t>Enunciado del item de Product Backlog</t>
        </is>
      </c>
      <c r="D5" s="3" t="inlineStr">
        <is>
          <t>Tarea</t>
        </is>
      </c>
      <c r="E5" s="3" t="inlineStr">
        <is>
          <t>Dueño / Voluntario</t>
        </is>
      </c>
      <c r="F5" s="3" t="inlineStr">
        <is>
          <t>Estatus</t>
        </is>
      </c>
      <c r="G5" s="3" t="inlineStr">
        <is>
          <t>Horas estimadas totales</t>
        </is>
      </c>
      <c r="H5" s="6" t="inlineStr">
        <is>
          <t>Cons.</t>
        </is>
      </c>
      <c r="I5" s="6" t="inlineStr">
        <is>
          <t>Rest.</t>
        </is>
      </c>
      <c r="J5" s="6" t="n"/>
      <c r="K5" s="6" t="inlineStr">
        <is>
          <t>Cons.</t>
        </is>
      </c>
      <c r="L5" s="6" t="inlineStr">
        <is>
          <t>Rest.</t>
        </is>
      </c>
      <c r="M5" s="6" t="n"/>
      <c r="N5" s="6" t="inlineStr">
        <is>
          <t>Cons.</t>
        </is>
      </c>
      <c r="O5" s="6" t="inlineStr">
        <is>
          <t>Rest.</t>
        </is>
      </c>
      <c r="P5" s="6" t="n"/>
      <c r="Q5" s="6" t="inlineStr">
        <is>
          <t>Cons.</t>
        </is>
      </c>
      <c r="R5" s="6" t="inlineStr">
        <is>
          <t>Rest.</t>
        </is>
      </c>
      <c r="S5" s="6" t="n"/>
      <c r="T5" s="6" t="inlineStr">
        <is>
          <t>Cons.</t>
        </is>
      </c>
      <c r="U5" s="6" t="inlineStr">
        <is>
          <t>Rest.</t>
        </is>
      </c>
      <c r="V5" s="6" t="n"/>
      <c r="W5" s="6" t="inlineStr">
        <is>
          <t>Cons.</t>
        </is>
      </c>
      <c r="X5" s="6" t="inlineStr">
        <is>
          <t>Rest.</t>
        </is>
      </c>
      <c r="Y5" s="6" t="n"/>
      <c r="Z5" s="6" t="inlineStr">
        <is>
          <t>Cons.</t>
        </is>
      </c>
      <c r="AA5" s="6" t="inlineStr">
        <is>
          <t>Rest.</t>
        </is>
      </c>
      <c r="AB5" s="6" t="n"/>
      <c r="AC5" s="6" t="inlineStr">
        <is>
          <t>Cons.</t>
        </is>
      </c>
      <c r="AD5" s="6" t="inlineStr">
        <is>
          <t>Rest.</t>
        </is>
      </c>
      <c r="AE5" s="6" t="n"/>
      <c r="AF5" s="6" t="inlineStr">
        <is>
          <t>Cons.</t>
        </is>
      </c>
      <c r="AG5" s="6" t="inlineStr">
        <is>
          <t>Rest.</t>
        </is>
      </c>
      <c r="AH5" s="6" t="n"/>
      <c r="AI5" s="6" t="inlineStr">
        <is>
          <t>Cons.</t>
        </is>
      </c>
      <c r="AJ5" s="6" t="inlineStr">
        <is>
          <t>Rest.</t>
        </is>
      </c>
      <c r="AK5" s="6" t="n"/>
      <c r="AL5" s="6" t="inlineStr">
        <is>
          <t>Cons.</t>
        </is>
      </c>
      <c r="AM5" s="6" t="inlineStr">
        <is>
          <t>Rest.</t>
        </is>
      </c>
      <c r="AN5" s="6" t="n"/>
      <c r="AO5" s="6" t="inlineStr">
        <is>
          <t>Cons.</t>
        </is>
      </c>
      <c r="AP5" s="6" t="inlineStr">
        <is>
          <t>Rest.</t>
        </is>
      </c>
      <c r="AQ5" s="6" t="n"/>
      <c r="AR5" s="6" t="inlineStr">
        <is>
          <t>Cons.</t>
        </is>
      </c>
      <c r="AS5" s="6" t="inlineStr">
        <is>
          <t>Rest.</t>
        </is>
      </c>
      <c r="AT5" s="6" t="n"/>
      <c r="AU5" s="6" t="inlineStr">
        <is>
          <t>Cons.</t>
        </is>
      </c>
      <c r="AV5" s="6" t="inlineStr">
        <is>
          <t>Rest.</t>
        </is>
      </c>
      <c r="AW5" s="6" t="n"/>
      <c r="AX5" s="6" t="inlineStr">
        <is>
          <t>Cons.</t>
        </is>
      </c>
      <c r="AY5" s="6" t="inlineStr">
        <is>
          <t>Rest.</t>
        </is>
      </c>
      <c r="AZ5" s="6" t="n"/>
      <c r="BA5" s="6" t="inlineStr">
        <is>
          <t>Cons.</t>
        </is>
      </c>
      <c r="BB5" s="6" t="inlineStr">
        <is>
          <t>Rest.</t>
        </is>
      </c>
      <c r="BC5" s="6" t="n"/>
      <c r="BD5" s="6" t="inlineStr">
        <is>
          <t>Cons.</t>
        </is>
      </c>
      <c r="BE5" s="6" t="inlineStr">
        <is>
          <t>Rest.</t>
        </is>
      </c>
      <c r="BF5" s="6" t="n"/>
      <c r="BG5" s="6" t="inlineStr">
        <is>
          <t>Cons.</t>
        </is>
      </c>
      <c r="BH5" s="6" t="inlineStr">
        <is>
          <t>Rest.</t>
        </is>
      </c>
      <c r="BI5" s="6" t="n"/>
      <c r="BJ5" s="6" t="inlineStr">
        <is>
          <t>Cons.</t>
        </is>
      </c>
      <c r="BK5" s="6" t="inlineStr">
        <is>
          <t>Rest.</t>
        </is>
      </c>
      <c r="BL5" s="6" t="n"/>
      <c r="BM5" s="6" t="inlineStr">
        <is>
          <t>Cons.</t>
        </is>
      </c>
      <c r="BN5" s="6" t="inlineStr">
        <is>
          <t>Rest.</t>
        </is>
      </c>
      <c r="BO5" s="6" t="n"/>
      <c r="BP5" s="6" t="inlineStr">
        <is>
          <t>Cons.</t>
        </is>
      </c>
      <c r="BQ5" s="6" t="inlineStr">
        <is>
          <t>Rest.</t>
        </is>
      </c>
      <c r="BS5" t="inlineStr">
        <is>
          <t>Clave Jira</t>
        </is>
      </c>
    </row>
    <row r="6" ht="24" customHeight="1">
      <c r="B6" s="7" t="inlineStr">
        <is>
          <t>HU-05</t>
        </is>
      </c>
      <c r="C6" s="7" t="inlineStr">
        <is>
          <t>[Prioridad: Media] Como Gerente de Operaciones, quiero visualizar y filtrar tickets pendientes para priorizar atenciones.</t>
        </is>
      </c>
      <c r="D6" s="7" t="inlineStr">
        <is>
          <t>Backend y endpoints de filtros y ordenamiento de tickets</t>
        </is>
      </c>
      <c r="E6" s="7" t="inlineStr">
        <is>
          <t>Elías Guala</t>
        </is>
      </c>
      <c r="F6" s="7" t="inlineStr">
        <is>
          <t>No Iniciado</t>
        </is>
      </c>
      <c r="G6" s="7" t="n">
        <v>28</v>
      </c>
      <c r="H6" s="13" t="n">
        <v>0</v>
      </c>
      <c r="I6" s="13">
        <f>G6-H6</f>
        <v/>
      </c>
      <c r="J6" s="9" t="n"/>
      <c r="K6" s="13" t="n">
        <v>0</v>
      </c>
      <c r="L6" s="13">
        <f>I6-K6</f>
        <v/>
      </c>
      <c r="M6" s="9" t="n"/>
      <c r="N6" s="13" t="n">
        <v>0</v>
      </c>
      <c r="O6" s="13">
        <f>L6-N6</f>
        <v/>
      </c>
      <c r="P6" s="9" t="n"/>
      <c r="Q6" s="13" t="n">
        <v>0</v>
      </c>
      <c r="R6" s="13">
        <f>O6-Q6</f>
        <v/>
      </c>
      <c r="S6" s="9" t="n"/>
      <c r="T6" s="13" t="n">
        <v>0</v>
      </c>
      <c r="U6" s="13">
        <f>R6-T6</f>
        <v/>
      </c>
      <c r="V6" s="9" t="n"/>
      <c r="W6" s="13" t="n">
        <v>0</v>
      </c>
      <c r="X6" s="13">
        <f>U6-W6</f>
        <v/>
      </c>
      <c r="Y6" s="9" t="n"/>
      <c r="Z6" s="13" t="n">
        <v>0</v>
      </c>
      <c r="AA6" s="13">
        <f>X6-Z6</f>
        <v/>
      </c>
      <c r="AB6" s="9" t="n"/>
      <c r="AC6" s="13" t="n">
        <v>0</v>
      </c>
      <c r="AD6" s="13">
        <f>AA6-AC6</f>
        <v/>
      </c>
      <c r="AE6" s="9" t="n"/>
      <c r="AF6" s="13" t="n">
        <v>0</v>
      </c>
      <c r="AG6" s="13">
        <f>AD6-AF6</f>
        <v/>
      </c>
      <c r="AH6" s="9" t="n"/>
      <c r="AI6" s="13" t="n">
        <v>0</v>
      </c>
      <c r="AJ6" s="13">
        <f>AG6-AI6</f>
        <v/>
      </c>
      <c r="AK6" s="9" t="n"/>
      <c r="AL6" s="13" t="n">
        <v>0</v>
      </c>
      <c r="AM6" s="13">
        <f>AJ6-AL6</f>
        <v/>
      </c>
      <c r="AN6" s="9" t="n"/>
      <c r="AO6" s="13" t="n">
        <v>0</v>
      </c>
      <c r="AP6" s="13">
        <f>AM6-AO6</f>
        <v/>
      </c>
      <c r="AQ6" s="9" t="n"/>
      <c r="AR6" s="13" t="n">
        <v>0</v>
      </c>
      <c r="AS6" s="13">
        <f>AP6-AR6</f>
        <v/>
      </c>
      <c r="AT6" s="9" t="n"/>
      <c r="AU6" s="13" t="n">
        <v>0</v>
      </c>
      <c r="AV6" s="13">
        <f>AS6-AU6</f>
        <v/>
      </c>
      <c r="AW6" s="9" t="n"/>
      <c r="AX6" s="13" t="n">
        <v>0</v>
      </c>
      <c r="AY6" s="13">
        <f>AV6-AX6</f>
        <v/>
      </c>
      <c r="AZ6" s="9" t="n"/>
      <c r="BA6" s="13" t="n">
        <v>0</v>
      </c>
      <c r="BB6" s="13">
        <f>AY6-BA6</f>
        <v/>
      </c>
      <c r="BC6" s="9" t="n"/>
      <c r="BD6" s="13" t="n">
        <v>0</v>
      </c>
      <c r="BE6" s="13">
        <f>BB6-BD6</f>
        <v/>
      </c>
      <c r="BF6" s="9" t="n"/>
      <c r="BG6" s="13" t="n">
        <v>0</v>
      </c>
      <c r="BH6" s="13">
        <f>BE6-BG6</f>
        <v/>
      </c>
      <c r="BI6" s="9" t="n"/>
      <c r="BJ6" s="13" t="n">
        <v>0</v>
      </c>
      <c r="BK6" s="13">
        <f>BH6-BJ6</f>
        <v/>
      </c>
      <c r="BL6" s="9" t="n"/>
      <c r="BM6" s="13" t="n">
        <v>0</v>
      </c>
      <c r="BN6" s="13">
        <f>BK6-BM6</f>
        <v/>
      </c>
      <c r="BO6" s="9" t="n"/>
      <c r="BP6" s="14">
        <f>H6+K6+N6+Q6+T6+W6+Z6+AC6+AF6+AI6+AL6+AO6+AR6+AU6+AX6+BA6+BD6+BG6+BJ6+BM6</f>
        <v/>
      </c>
      <c r="BQ6" s="14">
        <f>BN6</f>
        <v/>
      </c>
      <c r="BS6" t="inlineStr">
        <is>
          <t>SMX-74</t>
        </is>
      </c>
    </row>
    <row r="7" ht="24" customHeight="1">
      <c r="B7" s="7" t="inlineStr">
        <is>
          <t>HU-06</t>
        </is>
      </c>
      <c r="C7" s="7" t="inlineStr">
        <is>
          <t>[Prioridad: Alta] Como Gerente de Operaciones, quiero vincular tickets a técnicos para generar Órdenes de Trabajo (OT).</t>
        </is>
      </c>
      <c r="D7" s="7" t="inlineStr">
        <is>
          <t>Lógica relacional y despacho de Ticket a OT</t>
        </is>
      </c>
      <c r="E7" s="7" t="inlineStr">
        <is>
          <t>Elías Guala</t>
        </is>
      </c>
      <c r="F7" s="7" t="inlineStr">
        <is>
          <t>No Iniciado</t>
        </is>
      </c>
      <c r="G7" s="7" t="n">
        <v>28</v>
      </c>
      <c r="H7" s="13" t="n">
        <v>0</v>
      </c>
      <c r="I7" s="13">
        <f>G7-H7</f>
        <v/>
      </c>
      <c r="J7" s="9" t="n"/>
      <c r="K7" s="13" t="n">
        <v>0</v>
      </c>
      <c r="L7" s="13">
        <f>I7-K7</f>
        <v/>
      </c>
      <c r="M7" s="9" t="n"/>
      <c r="N7" s="13" t="n">
        <v>0</v>
      </c>
      <c r="O7" s="13">
        <f>L7-N7</f>
        <v/>
      </c>
      <c r="P7" s="9" t="n"/>
      <c r="Q7" s="13" t="n">
        <v>0</v>
      </c>
      <c r="R7" s="13">
        <f>O7-Q7</f>
        <v/>
      </c>
      <c r="S7" s="9" t="n"/>
      <c r="T7" s="13" t="n">
        <v>0</v>
      </c>
      <c r="U7" s="13">
        <f>R7-T7</f>
        <v/>
      </c>
      <c r="V7" s="9" t="n"/>
      <c r="W7" s="13" t="n">
        <v>0</v>
      </c>
      <c r="X7" s="13">
        <f>U7-W7</f>
        <v/>
      </c>
      <c r="Y7" s="9" t="n"/>
      <c r="Z7" s="13" t="n">
        <v>0</v>
      </c>
      <c r="AA7" s="13">
        <f>X7-Z7</f>
        <v/>
      </c>
      <c r="AB7" s="9" t="n"/>
      <c r="AC7" s="13" t="n">
        <v>0</v>
      </c>
      <c r="AD7" s="13">
        <f>AA7-AC7</f>
        <v/>
      </c>
      <c r="AE7" s="9" t="n"/>
      <c r="AF7" s="13" t="n">
        <v>0</v>
      </c>
      <c r="AG7" s="13">
        <f>AD7-AF7</f>
        <v/>
      </c>
      <c r="AH7" s="9" t="n"/>
      <c r="AI7" s="13" t="n">
        <v>0</v>
      </c>
      <c r="AJ7" s="13">
        <f>AG7-AI7</f>
        <v/>
      </c>
      <c r="AK7" s="9" t="n"/>
      <c r="AL7" s="13" t="n">
        <v>0</v>
      </c>
      <c r="AM7" s="13">
        <f>AJ7-AL7</f>
        <v/>
      </c>
      <c r="AN7" s="9" t="n"/>
      <c r="AO7" s="13" t="n">
        <v>0</v>
      </c>
      <c r="AP7" s="13">
        <f>AM7-AO7</f>
        <v/>
      </c>
      <c r="AQ7" s="9" t="n"/>
      <c r="AR7" s="13" t="n">
        <v>0</v>
      </c>
      <c r="AS7" s="13">
        <f>AP7-AR7</f>
        <v/>
      </c>
      <c r="AT7" s="9" t="n"/>
      <c r="AU7" s="13" t="n">
        <v>0</v>
      </c>
      <c r="AV7" s="13">
        <f>AS7-AU7</f>
        <v/>
      </c>
      <c r="AW7" s="9" t="n"/>
      <c r="AX7" s="13" t="n">
        <v>0</v>
      </c>
      <c r="AY7" s="13">
        <f>AV7-AX7</f>
        <v/>
      </c>
      <c r="AZ7" s="9" t="n"/>
      <c r="BA7" s="13" t="n">
        <v>0</v>
      </c>
      <c r="BB7" s="13">
        <f>AY7-BA7</f>
        <v/>
      </c>
      <c r="BC7" s="9" t="n"/>
      <c r="BD7" s="13" t="n">
        <v>0</v>
      </c>
      <c r="BE7" s="13">
        <f>BB7-BD7</f>
        <v/>
      </c>
      <c r="BF7" s="9" t="n"/>
      <c r="BG7" s="13" t="n">
        <v>0</v>
      </c>
      <c r="BH7" s="13">
        <f>BE7-BG7</f>
        <v/>
      </c>
      <c r="BI7" s="9" t="n"/>
      <c r="BJ7" s="13" t="n">
        <v>0</v>
      </c>
      <c r="BK7" s="13">
        <f>BH7-BJ7</f>
        <v/>
      </c>
      <c r="BL7" s="9" t="n"/>
      <c r="BM7" s="13" t="n">
        <v>0</v>
      </c>
      <c r="BN7" s="13">
        <f>BK7-BM7</f>
        <v/>
      </c>
      <c r="BO7" s="9" t="n"/>
      <c r="BP7" s="14">
        <f>H7+K7+N7+Q7+T7+W7+Z7+AC7+AF7+AI7+AL7+AO7+AR7+AU7+AX7+BA7+BD7+BG7+BJ7+BM7</f>
        <v/>
      </c>
      <c r="BQ7" s="14">
        <f>BN7</f>
        <v/>
      </c>
      <c r="BS7" t="inlineStr">
        <is>
          <t>SMX-75</t>
        </is>
      </c>
    </row>
    <row r="8" ht="24" customHeight="1">
      <c r="B8" s="7" t="inlineStr">
        <is>
          <t>HU-07</t>
        </is>
      </c>
      <c r="C8" s="7" t="inlineStr">
        <is>
          <t>[Prioridad: Alta] Como Gerente de Operaciones, quiero un cálculo automatizado de tiempos de respuesta para controlar el SLA.</t>
        </is>
      </c>
      <c r="D8" s="7" t="inlineStr">
        <is>
          <t>Algoritmo de cálculo de vencimiento y alertas SLA</t>
        </is>
      </c>
      <c r="E8" s="7" t="inlineStr">
        <is>
          <t>Elías Guala</t>
        </is>
      </c>
      <c r="F8" s="7" t="inlineStr">
        <is>
          <t>No Iniciado</t>
        </is>
      </c>
      <c r="G8" s="7" t="n">
        <v>28</v>
      </c>
      <c r="H8" s="13" t="n">
        <v>0</v>
      </c>
      <c r="I8" s="13">
        <f>G8-H8</f>
        <v/>
      </c>
      <c r="J8" s="9" t="n"/>
      <c r="K8" s="13" t="n">
        <v>0</v>
      </c>
      <c r="L8" s="13">
        <f>I8-K8</f>
        <v/>
      </c>
      <c r="M8" s="9" t="n"/>
      <c r="N8" s="13" t="n">
        <v>0</v>
      </c>
      <c r="O8" s="13">
        <f>L8-N8</f>
        <v/>
      </c>
      <c r="P8" s="9" t="n"/>
      <c r="Q8" s="13" t="n">
        <v>0</v>
      </c>
      <c r="R8" s="13">
        <f>O8-Q8</f>
        <v/>
      </c>
      <c r="S8" s="9" t="n"/>
      <c r="T8" s="13" t="n">
        <v>0</v>
      </c>
      <c r="U8" s="13">
        <f>R8-T8</f>
        <v/>
      </c>
      <c r="V8" s="9" t="n"/>
      <c r="W8" s="13" t="n">
        <v>0</v>
      </c>
      <c r="X8" s="13">
        <f>U8-W8</f>
        <v/>
      </c>
      <c r="Y8" s="9" t="n"/>
      <c r="Z8" s="13" t="n">
        <v>0</v>
      </c>
      <c r="AA8" s="13">
        <f>X8-Z8</f>
        <v/>
      </c>
      <c r="AB8" s="9" t="n"/>
      <c r="AC8" s="13" t="n">
        <v>0</v>
      </c>
      <c r="AD8" s="13">
        <f>AA8-AC8</f>
        <v/>
      </c>
      <c r="AE8" s="9" t="n"/>
      <c r="AF8" s="13" t="n">
        <v>0</v>
      </c>
      <c r="AG8" s="13">
        <f>AD8-AF8</f>
        <v/>
      </c>
      <c r="AH8" s="9" t="n"/>
      <c r="AI8" s="13" t="n">
        <v>0</v>
      </c>
      <c r="AJ8" s="13">
        <f>AG8-AI8</f>
        <v/>
      </c>
      <c r="AK8" s="9" t="n"/>
      <c r="AL8" s="13" t="n">
        <v>0</v>
      </c>
      <c r="AM8" s="13">
        <f>AJ8-AL8</f>
        <v/>
      </c>
      <c r="AN8" s="9" t="n"/>
      <c r="AO8" s="13" t="n">
        <v>0</v>
      </c>
      <c r="AP8" s="13">
        <f>AM8-AO8</f>
        <v/>
      </c>
      <c r="AQ8" s="9" t="n"/>
      <c r="AR8" s="13" t="n">
        <v>0</v>
      </c>
      <c r="AS8" s="13">
        <f>AP8-AR8</f>
        <v/>
      </c>
      <c r="AT8" s="9" t="n"/>
      <c r="AU8" s="13" t="n">
        <v>0</v>
      </c>
      <c r="AV8" s="13">
        <f>AS8-AU8</f>
        <v/>
      </c>
      <c r="AW8" s="9" t="n"/>
      <c r="AX8" s="13" t="n">
        <v>0</v>
      </c>
      <c r="AY8" s="13">
        <f>AV8-AX8</f>
        <v/>
      </c>
      <c r="AZ8" s="9" t="n"/>
      <c r="BA8" s="13" t="n">
        <v>0</v>
      </c>
      <c r="BB8" s="13">
        <f>AY8-BA8</f>
        <v/>
      </c>
      <c r="BC8" s="9" t="n"/>
      <c r="BD8" s="13" t="n">
        <v>0</v>
      </c>
      <c r="BE8" s="13">
        <f>BB8-BD8</f>
        <v/>
      </c>
      <c r="BF8" s="9" t="n"/>
      <c r="BG8" s="13" t="n">
        <v>0</v>
      </c>
      <c r="BH8" s="13">
        <f>BE8-BG8</f>
        <v/>
      </c>
      <c r="BI8" s="9" t="n"/>
      <c r="BJ8" s="13" t="n">
        <v>0</v>
      </c>
      <c r="BK8" s="13">
        <f>BH8-BJ8</f>
        <v/>
      </c>
      <c r="BL8" s="9" t="n"/>
      <c r="BM8" s="13" t="n">
        <v>0</v>
      </c>
      <c r="BN8" s="13">
        <f>BK8-BM8</f>
        <v/>
      </c>
      <c r="BO8" s="9" t="n"/>
      <c r="BP8" s="14">
        <f>H8+K8+N8+Q8+T8+W8+Z8+AC8+AF8+AI8+AL8+AO8+AR8+AU8+AX8+BA8+BD8+BG8+BJ8+BM8</f>
        <v/>
      </c>
      <c r="BQ8" s="14">
        <f>BN8</f>
        <v/>
      </c>
      <c r="BS8" t="inlineStr">
        <is>
          <t>SMX-76</t>
        </is>
      </c>
    </row>
    <row r="9" ht="24" customHeight="1">
      <c r="B9" s="7" t="inlineStr">
        <is>
          <t>HU-09</t>
        </is>
      </c>
      <c r="C9" s="7" t="inlineStr">
        <is>
          <t>[Prioridad: Alta] Como Técnico de Terreno, quiero ver mis OT asignadas para organizar mi jornada de trabajo.</t>
        </is>
      </c>
      <c r="D9" s="7" t="inlineStr">
        <is>
          <t>Portal web técnico responsive (Mobile-First) para OTs</t>
        </is>
      </c>
      <c r="E9" s="7" t="inlineStr">
        <is>
          <t>Elías Guala</t>
        </is>
      </c>
      <c r="F9" s="7" t="inlineStr">
        <is>
          <t>No Iniciado</t>
        </is>
      </c>
      <c r="G9" s="7" t="n">
        <v>28</v>
      </c>
      <c r="H9" s="13" t="n">
        <v>0</v>
      </c>
      <c r="I9" s="13">
        <f>G9-H9</f>
        <v/>
      </c>
      <c r="J9" s="9" t="n"/>
      <c r="K9" s="13" t="n">
        <v>0</v>
      </c>
      <c r="L9" s="13">
        <f>I9-K9</f>
        <v/>
      </c>
      <c r="M9" s="9" t="n"/>
      <c r="N9" s="13" t="n">
        <v>0</v>
      </c>
      <c r="O9" s="13">
        <f>L9-N9</f>
        <v/>
      </c>
      <c r="P9" s="9" t="n"/>
      <c r="Q9" s="13" t="n">
        <v>0</v>
      </c>
      <c r="R9" s="13">
        <f>O9-Q9</f>
        <v/>
      </c>
      <c r="S9" s="9" t="n"/>
      <c r="T9" s="13" t="n">
        <v>0</v>
      </c>
      <c r="U9" s="13">
        <f>R9-T9</f>
        <v/>
      </c>
      <c r="V9" s="9" t="n"/>
      <c r="W9" s="13" t="n">
        <v>0</v>
      </c>
      <c r="X9" s="13">
        <f>U9-W9</f>
        <v/>
      </c>
      <c r="Y9" s="9" t="n"/>
      <c r="Z9" s="13" t="n">
        <v>0</v>
      </c>
      <c r="AA9" s="13">
        <f>X9-Z9</f>
        <v/>
      </c>
      <c r="AB9" s="9" t="n"/>
      <c r="AC9" s="13" t="n">
        <v>0</v>
      </c>
      <c r="AD9" s="13">
        <f>AA9-AC9</f>
        <v/>
      </c>
      <c r="AE9" s="9" t="n"/>
      <c r="AF9" s="13" t="n">
        <v>0</v>
      </c>
      <c r="AG9" s="13">
        <f>AD9-AF9</f>
        <v/>
      </c>
      <c r="AH9" s="9" t="n"/>
      <c r="AI9" s="13" t="n">
        <v>0</v>
      </c>
      <c r="AJ9" s="13">
        <f>AG9-AI9</f>
        <v/>
      </c>
      <c r="AK9" s="9" t="n"/>
      <c r="AL9" s="13" t="n">
        <v>0</v>
      </c>
      <c r="AM9" s="13">
        <f>AJ9-AL9</f>
        <v/>
      </c>
      <c r="AN9" s="9" t="n"/>
      <c r="AO9" s="13" t="n">
        <v>0</v>
      </c>
      <c r="AP9" s="13">
        <f>AM9-AO9</f>
        <v/>
      </c>
      <c r="AQ9" s="9" t="n"/>
      <c r="AR9" s="13" t="n">
        <v>0</v>
      </c>
      <c r="AS9" s="13">
        <f>AP9-AR9</f>
        <v/>
      </c>
      <c r="AT9" s="9" t="n"/>
      <c r="AU9" s="13" t="n">
        <v>0</v>
      </c>
      <c r="AV9" s="13">
        <f>AS9-AU9</f>
        <v/>
      </c>
      <c r="AW9" s="9" t="n"/>
      <c r="AX9" s="13" t="n">
        <v>0</v>
      </c>
      <c r="AY9" s="13">
        <f>AV9-AX9</f>
        <v/>
      </c>
      <c r="AZ9" s="9" t="n"/>
      <c r="BA9" s="13" t="n">
        <v>0</v>
      </c>
      <c r="BB9" s="13">
        <f>AY9-BA9</f>
        <v/>
      </c>
      <c r="BC9" s="9" t="n"/>
      <c r="BD9" s="13" t="n">
        <v>0</v>
      </c>
      <c r="BE9" s="13">
        <f>BB9-BD9</f>
        <v/>
      </c>
      <c r="BF9" s="9" t="n"/>
      <c r="BG9" s="13" t="n">
        <v>0</v>
      </c>
      <c r="BH9" s="13">
        <f>BE9-BG9</f>
        <v/>
      </c>
      <c r="BI9" s="9" t="n"/>
      <c r="BJ9" s="13" t="n">
        <v>0</v>
      </c>
      <c r="BK9" s="13">
        <f>BH9-BJ9</f>
        <v/>
      </c>
      <c r="BL9" s="9" t="n"/>
      <c r="BM9" s="13" t="n">
        <v>0</v>
      </c>
      <c r="BN9" s="13">
        <f>BK9-BM9</f>
        <v/>
      </c>
      <c r="BO9" s="9" t="n"/>
      <c r="BP9" s="14">
        <f>H9+K9+N9+Q9+T9+W9+Z9+AC9+AF9+AI9+AL9+AO9+AR9+AU9+AX9+BA9+BD9+BG9+BJ9+BM9</f>
        <v/>
      </c>
      <c r="BQ9" s="14">
        <f>BN9</f>
        <v/>
      </c>
      <c r="BS9" t="inlineStr">
        <is>
          <t>SMX-77</t>
        </is>
      </c>
    </row>
    <row r="10" ht="24" customHeight="1">
      <c r="B10" s="7" t="inlineStr">
        <is>
          <t>GEST-02</t>
        </is>
      </c>
      <c r="C10" s="7" t="inlineStr">
        <is>
          <t>[Prioridad: Media] Como Scrum Master, requiero monitorear la infraestructura cloud y facilitar la integración técnica.</t>
        </is>
      </c>
      <c r="D10" s="7" t="inlineStr">
        <is>
          <t>Soporte ágil y remoción de impedimentos de integración cloud</t>
        </is>
      </c>
      <c r="E10" s="7" t="inlineStr">
        <is>
          <t>Maximiliano Duarte</t>
        </is>
      </c>
      <c r="F10" s="7" t="inlineStr">
        <is>
          <t>No Iniciado</t>
        </is>
      </c>
      <c r="G10" s="7" t="n">
        <v>28</v>
      </c>
      <c r="H10" s="13" t="n">
        <v>0</v>
      </c>
      <c r="I10" s="13">
        <f>G10-H10</f>
        <v/>
      </c>
      <c r="J10" s="9" t="n"/>
      <c r="K10" s="13" t="n">
        <v>0</v>
      </c>
      <c r="L10" s="13">
        <f>I10-K10</f>
        <v/>
      </c>
      <c r="M10" s="9" t="n"/>
      <c r="N10" s="13" t="n">
        <v>0</v>
      </c>
      <c r="O10" s="13">
        <f>L10-N10</f>
        <v/>
      </c>
      <c r="P10" s="9" t="n"/>
      <c r="Q10" s="13" t="n">
        <v>0</v>
      </c>
      <c r="R10" s="13">
        <f>O10-Q10</f>
        <v/>
      </c>
      <c r="S10" s="9" t="n"/>
      <c r="T10" s="13" t="n">
        <v>0</v>
      </c>
      <c r="U10" s="13">
        <f>R10-T10</f>
        <v/>
      </c>
      <c r="V10" s="9" t="n"/>
      <c r="W10" s="13" t="n">
        <v>0</v>
      </c>
      <c r="X10" s="13">
        <f>U10-W10</f>
        <v/>
      </c>
      <c r="Y10" s="9" t="n"/>
      <c r="Z10" s="13" t="n">
        <v>0</v>
      </c>
      <c r="AA10" s="13">
        <f>X10-Z10</f>
        <v/>
      </c>
      <c r="AB10" s="9" t="n"/>
      <c r="AC10" s="13" t="n">
        <v>0</v>
      </c>
      <c r="AD10" s="13">
        <f>AA10-AC10</f>
        <v/>
      </c>
      <c r="AE10" s="9" t="n"/>
      <c r="AF10" s="13" t="n">
        <v>0</v>
      </c>
      <c r="AG10" s="13">
        <f>AD10-AF10</f>
        <v/>
      </c>
      <c r="AH10" s="9" t="n"/>
      <c r="AI10" s="13" t="n">
        <v>0</v>
      </c>
      <c r="AJ10" s="13">
        <f>AG10-AI10</f>
        <v/>
      </c>
      <c r="AK10" s="9" t="n"/>
      <c r="AL10" s="13" t="n">
        <v>0</v>
      </c>
      <c r="AM10" s="13">
        <f>AJ10-AL10</f>
        <v/>
      </c>
      <c r="AN10" s="9" t="n"/>
      <c r="AO10" s="13" t="n">
        <v>0</v>
      </c>
      <c r="AP10" s="13">
        <f>AM10-AO10</f>
        <v/>
      </c>
      <c r="AQ10" s="9" t="n"/>
      <c r="AR10" s="13" t="n">
        <v>0</v>
      </c>
      <c r="AS10" s="13">
        <f>AP10-AR10</f>
        <v/>
      </c>
      <c r="AT10" s="9" t="n"/>
      <c r="AU10" s="13" t="n">
        <v>0</v>
      </c>
      <c r="AV10" s="13">
        <f>AS10-AU10</f>
        <v/>
      </c>
      <c r="AW10" s="9" t="n"/>
      <c r="AX10" s="13" t="n">
        <v>0</v>
      </c>
      <c r="AY10" s="13">
        <f>AV10-AX10</f>
        <v/>
      </c>
      <c r="AZ10" s="9" t="n"/>
      <c r="BA10" s="13" t="n">
        <v>0</v>
      </c>
      <c r="BB10" s="13">
        <f>AY10-BA10</f>
        <v/>
      </c>
      <c r="BC10" s="9" t="n"/>
      <c r="BD10" s="13" t="n">
        <v>0</v>
      </c>
      <c r="BE10" s="13">
        <f>BB10-BD10</f>
        <v/>
      </c>
      <c r="BF10" s="9" t="n"/>
      <c r="BG10" s="13" t="n">
        <v>0</v>
      </c>
      <c r="BH10" s="13">
        <f>BE10-BG10</f>
        <v/>
      </c>
      <c r="BI10" s="9" t="n"/>
      <c r="BJ10" s="13" t="n">
        <v>0</v>
      </c>
      <c r="BK10" s="13">
        <f>BH10-BJ10</f>
        <v/>
      </c>
      <c r="BL10" s="9" t="n"/>
      <c r="BM10" s="13" t="n">
        <v>0</v>
      </c>
      <c r="BN10" s="13">
        <f>BK10-BM10</f>
        <v/>
      </c>
      <c r="BO10" s="9" t="n"/>
      <c r="BP10" s="14">
        <f>H10+K10+N10+Q10+T10+W10+Z10+AC10+AF10+AI10+AL10+AO10+AR10+AU10+AX10+BA10+BD10+BG10+BJ10+BM10</f>
        <v/>
      </c>
      <c r="BQ10" s="14">
        <f>BN10</f>
        <v/>
      </c>
      <c r="BS10" t="inlineStr">
        <is>
          <t>SMX-54</t>
        </is>
      </c>
    </row>
    <row r="11" ht="24" customHeight="1">
      <c r="B11" s="7" t="inlineStr">
        <is>
          <t>QA-03</t>
        </is>
      </c>
      <c r="C11" s="7" t="inlineStr">
        <is>
          <t>[Prioridad: Alta] Como Responsable de QA, quiero probar los umbrales de SLA y el portal técnico para evitar fallas en terreno.</t>
        </is>
      </c>
      <c r="D11" s="7" t="inlineStr">
        <is>
          <t>Definición de umbrales y ejecución de pruebas de SLA y flujo OT</t>
        </is>
      </c>
      <c r="E11" s="7" t="inlineStr">
        <is>
          <t>Maximiliano Duarte</t>
        </is>
      </c>
      <c r="F11" s="7" t="inlineStr">
        <is>
          <t>No Iniciado</t>
        </is>
      </c>
      <c r="G11" s="7" t="n">
        <v>28</v>
      </c>
      <c r="H11" s="13" t="n">
        <v>0</v>
      </c>
      <c r="I11" s="13">
        <f>G11-H11</f>
        <v/>
      </c>
      <c r="J11" s="9" t="n"/>
      <c r="K11" s="13" t="n">
        <v>0</v>
      </c>
      <c r="L11" s="13">
        <f>I11-K11</f>
        <v/>
      </c>
      <c r="M11" s="9" t="n"/>
      <c r="N11" s="13" t="n">
        <v>0</v>
      </c>
      <c r="O11" s="13">
        <f>L11-N11</f>
        <v/>
      </c>
      <c r="P11" s="9" t="n"/>
      <c r="Q11" s="13" t="n">
        <v>0</v>
      </c>
      <c r="R11" s="13">
        <f>O11-Q11</f>
        <v/>
      </c>
      <c r="S11" s="9" t="n"/>
      <c r="T11" s="13" t="n">
        <v>0</v>
      </c>
      <c r="U11" s="13">
        <f>R11-T11</f>
        <v/>
      </c>
      <c r="V11" s="9" t="n"/>
      <c r="W11" s="13" t="n">
        <v>0</v>
      </c>
      <c r="X11" s="13">
        <f>U11-W11</f>
        <v/>
      </c>
      <c r="Y11" s="9" t="n"/>
      <c r="Z11" s="13" t="n">
        <v>0</v>
      </c>
      <c r="AA11" s="13">
        <f>X11-Z11</f>
        <v/>
      </c>
      <c r="AB11" s="9" t="n"/>
      <c r="AC11" s="13" t="n">
        <v>0</v>
      </c>
      <c r="AD11" s="13">
        <f>AA11-AC11</f>
        <v/>
      </c>
      <c r="AE11" s="9" t="n"/>
      <c r="AF11" s="13" t="n">
        <v>0</v>
      </c>
      <c r="AG11" s="13">
        <f>AD11-AF11</f>
        <v/>
      </c>
      <c r="AH11" s="9" t="n"/>
      <c r="AI11" s="13" t="n">
        <v>0</v>
      </c>
      <c r="AJ11" s="13">
        <f>AG11-AI11</f>
        <v/>
      </c>
      <c r="AK11" s="9" t="n"/>
      <c r="AL11" s="13" t="n">
        <v>0</v>
      </c>
      <c r="AM11" s="13">
        <f>AJ11-AL11</f>
        <v/>
      </c>
      <c r="AN11" s="9" t="n"/>
      <c r="AO11" s="13" t="n">
        <v>0</v>
      </c>
      <c r="AP11" s="13">
        <f>AM11-AO11</f>
        <v/>
      </c>
      <c r="AQ11" s="9" t="n"/>
      <c r="AR11" s="13" t="n">
        <v>0</v>
      </c>
      <c r="AS11" s="13">
        <f>AP11-AR11</f>
        <v/>
      </c>
      <c r="AT11" s="9" t="n"/>
      <c r="AU11" s="13" t="n">
        <v>0</v>
      </c>
      <c r="AV11" s="13">
        <f>AS11-AU11</f>
        <v/>
      </c>
      <c r="AW11" s="9" t="n"/>
      <c r="AX11" s="13" t="n">
        <v>0</v>
      </c>
      <c r="AY11" s="13">
        <f>AV11-AX11</f>
        <v/>
      </c>
      <c r="AZ11" s="9" t="n"/>
      <c r="BA11" s="13" t="n">
        <v>0</v>
      </c>
      <c r="BB11" s="13">
        <f>AY11-BA11</f>
        <v/>
      </c>
      <c r="BC11" s="9" t="n"/>
      <c r="BD11" s="13" t="n">
        <v>0</v>
      </c>
      <c r="BE11" s="13">
        <f>BB11-BD11</f>
        <v/>
      </c>
      <c r="BF11" s="9" t="n"/>
      <c r="BG11" s="13" t="n">
        <v>0</v>
      </c>
      <c r="BH11" s="13">
        <f>BE11-BG11</f>
        <v/>
      </c>
      <c r="BI11" s="9" t="n"/>
      <c r="BJ11" s="13" t="n">
        <v>0</v>
      </c>
      <c r="BK11" s="13">
        <f>BH11-BJ11</f>
        <v/>
      </c>
      <c r="BL11" s="9" t="n"/>
      <c r="BM11" s="13" t="n">
        <v>0</v>
      </c>
      <c r="BN11" s="13">
        <f>BK11-BM11</f>
        <v/>
      </c>
      <c r="BO11" s="9" t="n"/>
      <c r="BP11" s="14">
        <f>H11+K11+N11+Q11+T11+W11+Z11+AC11+AF11+AI11+AL11+AO11+AR11+AU11+AX11+BA11+BD11+BG11+BJ11+BM11</f>
        <v/>
      </c>
      <c r="BQ11" s="14">
        <f>BN11</f>
        <v/>
      </c>
      <c r="BS11" t="inlineStr">
        <is>
          <t>SMX-55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S11"/>
  <sheetViews>
    <sheetView workbookViewId="0">
      <selection activeCell="A1" sqref="A1"/>
    </sheetView>
  </sheetViews>
  <sheetFormatPr baseColWidth="8" defaultRowHeight="15"/>
  <cols>
    <col width="1.42578125" customWidth="1" min="1" max="1"/>
    <col width="16.42578125" customWidth="1" min="2" max="2"/>
    <col width="34" customWidth="1" min="3" max="3"/>
    <col width="20.85546875" customWidth="1" min="4" max="4"/>
    <col width="10.42578125" customWidth="1" min="5" max="5"/>
    <col width="11.85546875" customWidth="1" min="6" max="6"/>
    <col width="15.42578125" customWidth="1" min="7" max="7"/>
    <col width="5.85546875" customWidth="1" min="8" max="8"/>
    <col width="5.42578125" customWidth="1" min="9" max="9"/>
    <col width="2.7109375" customWidth="1" min="10" max="10"/>
    <col width="5.85546875" customWidth="1" min="11" max="11"/>
    <col width="5.42578125" customWidth="1" min="12" max="12"/>
    <col width="2.7109375" customWidth="1" min="13" max="13"/>
    <col width="5.85546875" customWidth="1" min="14" max="14"/>
    <col width="5.42578125" customWidth="1" min="15" max="15"/>
    <col width="2.7109375" customWidth="1" min="16" max="16"/>
    <col width="5.85546875" customWidth="1" min="17" max="17"/>
    <col width="5.42578125" customWidth="1" min="18" max="18"/>
    <col width="2.7109375" customWidth="1" min="19" max="19"/>
    <col width="5.85546875" customWidth="1" min="20" max="20"/>
    <col width="5.42578125" customWidth="1" min="21" max="21"/>
    <col width="2.7109375" customWidth="1" min="22" max="22"/>
    <col width="5.85546875" customWidth="1" min="23" max="23"/>
    <col width="5.42578125" customWidth="1" min="24" max="24"/>
    <col width="2.7109375" customWidth="1" min="25" max="25"/>
    <col width="5.85546875" customWidth="1" min="26" max="26"/>
    <col width="5.42578125" customWidth="1" min="27" max="27"/>
    <col width="2.7109375" customWidth="1" min="28" max="28"/>
    <col width="5.85546875" customWidth="1" min="29" max="29"/>
    <col width="5.42578125" customWidth="1" min="30" max="30"/>
    <col width="2.7109375" customWidth="1" min="31" max="31"/>
    <col width="5.85546875" customWidth="1" min="32" max="32"/>
    <col width="5.42578125" customWidth="1" min="33" max="33"/>
    <col width="2.7109375" customWidth="1" min="34" max="34"/>
    <col width="5.85546875" customWidth="1" min="35" max="35"/>
    <col width="5.42578125" customWidth="1" min="36" max="36"/>
    <col width="2.7109375" customWidth="1" min="37" max="37"/>
    <col width="5.85546875" customWidth="1" min="38" max="38"/>
    <col width="5.42578125" customWidth="1" min="39" max="39"/>
    <col width="2.7109375" customWidth="1" min="40" max="40"/>
    <col width="5.85546875" customWidth="1" min="41" max="41"/>
    <col width="5.42578125" customWidth="1" min="42" max="42"/>
    <col width="2.7109375" customWidth="1" min="43" max="43"/>
    <col width="5.85546875" customWidth="1" min="44" max="44"/>
    <col width="5.42578125" customWidth="1" min="45" max="45"/>
    <col width="2.7109375" customWidth="1" min="46" max="46"/>
    <col width="5.85546875" customWidth="1" min="47" max="47"/>
    <col width="5.42578125" customWidth="1" min="48" max="48"/>
    <col width="2.7109375" customWidth="1" min="49" max="49"/>
    <col width="5.85546875" customWidth="1" min="50" max="50"/>
    <col width="5.42578125" customWidth="1" min="51" max="51"/>
    <col width="2.7109375" customWidth="1" min="52" max="52"/>
    <col width="5.85546875" customWidth="1" min="53" max="53"/>
    <col width="5.42578125" customWidth="1" min="54" max="54"/>
    <col width="2.7109375" customWidth="1" min="55" max="55"/>
    <col width="5.85546875" customWidth="1" min="56" max="56"/>
    <col width="5.42578125" customWidth="1" min="57" max="57"/>
    <col width="2.7109375" customWidth="1" min="58" max="58"/>
    <col width="5.85546875" customWidth="1" min="59" max="59"/>
    <col width="5.42578125" customWidth="1" min="60" max="60"/>
    <col width="2.7109375" customWidth="1" min="61" max="61"/>
    <col width="5.85546875" customWidth="1" min="62" max="62"/>
    <col width="5.42578125" customWidth="1" min="63" max="63"/>
    <col width="2.7109375" customWidth="1" min="64" max="64"/>
    <col width="5.85546875" customWidth="1" min="65" max="65"/>
    <col width="5.42578125" customWidth="1" min="66" max="66"/>
    <col width="2.7109375" customWidth="1" min="67" max="67"/>
    <col width="5.85546875" customWidth="1" min="68" max="68"/>
    <col width="5.42578125" customWidth="1" min="69" max="69"/>
    <col width="11.42578125" customWidth="1" min="70" max="70"/>
  </cols>
  <sheetData>
    <row r="1" ht="28.5" customHeight="1">
      <c r="B1" s="1" t="inlineStr">
        <is>
          <t>Metodologías ágiles: Lista de tareas de la iteración (Sprint 4)</t>
        </is>
      </c>
    </row>
    <row r="2" ht="28.5" customHeight="1">
      <c r="B2" s="12" t="inlineStr">
        <is>
          <t>Sprint Goal: Desplegar inteligencia de negocio gerencial (Dashboard interactivo), mantenimiento preventivo y asegurar el pase a producción del MVP.</t>
        </is>
      </c>
    </row>
    <row r="3" ht="21" customHeight="1">
      <c r="B3" s="2" t="inlineStr">
        <is>
          <t>Elaborado por: pmoinformatica.com</t>
        </is>
      </c>
    </row>
    <row r="4">
      <c r="H4" s="3" t="inlineStr">
        <is>
          <t>Día 1</t>
        </is>
      </c>
      <c r="I4" s="4" t="n"/>
      <c r="J4" s="5" t="n"/>
      <c r="K4" s="3" t="inlineStr">
        <is>
          <t>Día 2</t>
        </is>
      </c>
      <c r="L4" s="4" t="n"/>
      <c r="M4" s="5" t="n"/>
      <c r="N4" s="3" t="inlineStr">
        <is>
          <t>Día 3</t>
        </is>
      </c>
      <c r="O4" s="4" t="n"/>
      <c r="P4" s="5" t="n"/>
      <c r="Q4" s="3" t="inlineStr">
        <is>
          <t>Día 4</t>
        </is>
      </c>
      <c r="R4" s="4" t="n"/>
      <c r="S4" s="5" t="n"/>
      <c r="T4" s="3" t="inlineStr">
        <is>
          <t>Día 5</t>
        </is>
      </c>
      <c r="U4" s="4" t="n"/>
      <c r="V4" s="5" t="n"/>
      <c r="W4" s="3" t="inlineStr">
        <is>
          <t>Día 6</t>
        </is>
      </c>
      <c r="X4" s="4" t="n"/>
      <c r="Y4" s="5" t="n"/>
      <c r="Z4" s="3" t="inlineStr">
        <is>
          <t>Día 7</t>
        </is>
      </c>
      <c r="AA4" s="4" t="n"/>
      <c r="AB4" s="5" t="n"/>
      <c r="AC4" s="3" t="inlineStr">
        <is>
          <t>Día 8</t>
        </is>
      </c>
      <c r="AD4" s="4" t="n"/>
      <c r="AE4" s="5" t="n"/>
      <c r="AF4" s="3" t="inlineStr">
        <is>
          <t>Día 9</t>
        </is>
      </c>
      <c r="AG4" s="4" t="n"/>
      <c r="AH4" s="5" t="n"/>
      <c r="AI4" s="3" t="inlineStr">
        <is>
          <t>Día 10</t>
        </is>
      </c>
      <c r="AJ4" s="4" t="n"/>
      <c r="AK4" s="5" t="n"/>
      <c r="AL4" s="3" t="inlineStr">
        <is>
          <t>Día 11</t>
        </is>
      </c>
      <c r="AM4" s="4" t="n"/>
      <c r="AN4" s="5" t="n"/>
      <c r="AO4" s="3" t="inlineStr">
        <is>
          <t>Día 12</t>
        </is>
      </c>
      <c r="AP4" s="4" t="n"/>
      <c r="AQ4" s="5" t="n"/>
      <c r="AR4" s="3" t="inlineStr">
        <is>
          <t>Día 13</t>
        </is>
      </c>
      <c r="AS4" s="4" t="n"/>
      <c r="AT4" s="5" t="n"/>
      <c r="AU4" s="3" t="inlineStr">
        <is>
          <t>Día 14</t>
        </is>
      </c>
      <c r="AV4" s="4" t="n"/>
      <c r="AW4" s="5" t="n"/>
      <c r="AX4" s="3" t="inlineStr">
        <is>
          <t>Día 15</t>
        </is>
      </c>
      <c r="AY4" s="4" t="n"/>
      <c r="AZ4" s="5" t="n"/>
      <c r="BA4" s="3" t="inlineStr">
        <is>
          <t>Día 16</t>
        </is>
      </c>
      <c r="BB4" s="4" t="n"/>
      <c r="BC4" s="5" t="n"/>
      <c r="BD4" s="3" t="inlineStr">
        <is>
          <t>Día 17</t>
        </is>
      </c>
      <c r="BE4" s="4" t="n"/>
      <c r="BF4" s="5" t="n"/>
      <c r="BG4" s="3" t="inlineStr">
        <is>
          <t>Día 18</t>
        </is>
      </c>
      <c r="BH4" s="4" t="n"/>
      <c r="BI4" s="5" t="n"/>
      <c r="BJ4" s="3" t="inlineStr">
        <is>
          <t>Día 19</t>
        </is>
      </c>
      <c r="BK4" s="4" t="n"/>
      <c r="BL4" s="5" t="n"/>
      <c r="BM4" s="3" t="inlineStr">
        <is>
          <t>Día 20</t>
        </is>
      </c>
      <c r="BN4" s="4" t="n"/>
      <c r="BO4" s="5" t="n"/>
      <c r="BP4" s="3" t="inlineStr">
        <is>
          <t>Total</t>
        </is>
      </c>
      <c r="BQ4" s="4" t="n"/>
    </row>
    <row r="5" ht="45" customHeight="1">
      <c r="B5" s="3" t="inlineStr">
        <is>
          <t>Identificador (ID) de item de product backlog</t>
        </is>
      </c>
      <c r="C5" s="3" t="inlineStr">
        <is>
          <t>Enunciado del item de Product Backlog</t>
        </is>
      </c>
      <c r="D5" s="3" t="inlineStr">
        <is>
          <t>Tarea</t>
        </is>
      </c>
      <c r="E5" s="3" t="inlineStr">
        <is>
          <t>Dueño / Voluntario</t>
        </is>
      </c>
      <c r="F5" s="3" t="inlineStr">
        <is>
          <t>Estatus</t>
        </is>
      </c>
      <c r="G5" s="3" t="inlineStr">
        <is>
          <t>Horas estimadas totales</t>
        </is>
      </c>
      <c r="H5" s="6" t="inlineStr">
        <is>
          <t>Cons.</t>
        </is>
      </c>
      <c r="I5" s="6" t="inlineStr">
        <is>
          <t>Rest.</t>
        </is>
      </c>
      <c r="J5" s="6" t="n"/>
      <c r="K5" s="6" t="inlineStr">
        <is>
          <t>Cons.</t>
        </is>
      </c>
      <c r="L5" s="6" t="inlineStr">
        <is>
          <t>Rest.</t>
        </is>
      </c>
      <c r="M5" s="6" t="n"/>
      <c r="N5" s="6" t="inlineStr">
        <is>
          <t>Cons.</t>
        </is>
      </c>
      <c r="O5" s="6" t="inlineStr">
        <is>
          <t>Rest.</t>
        </is>
      </c>
      <c r="P5" s="6" t="n"/>
      <c r="Q5" s="6" t="inlineStr">
        <is>
          <t>Cons.</t>
        </is>
      </c>
      <c r="R5" s="6" t="inlineStr">
        <is>
          <t>Rest.</t>
        </is>
      </c>
      <c r="S5" s="6" t="n"/>
      <c r="T5" s="6" t="inlineStr">
        <is>
          <t>Cons.</t>
        </is>
      </c>
      <c r="U5" s="6" t="inlineStr">
        <is>
          <t>Rest.</t>
        </is>
      </c>
      <c r="V5" s="6" t="n"/>
      <c r="W5" s="6" t="inlineStr">
        <is>
          <t>Cons.</t>
        </is>
      </c>
      <c r="X5" s="6" t="inlineStr">
        <is>
          <t>Rest.</t>
        </is>
      </c>
      <c r="Y5" s="6" t="n"/>
      <c r="Z5" s="6" t="inlineStr">
        <is>
          <t>Cons.</t>
        </is>
      </c>
      <c r="AA5" s="6" t="inlineStr">
        <is>
          <t>Rest.</t>
        </is>
      </c>
      <c r="AB5" s="6" t="n"/>
      <c r="AC5" s="6" t="inlineStr">
        <is>
          <t>Cons.</t>
        </is>
      </c>
      <c r="AD5" s="6" t="inlineStr">
        <is>
          <t>Rest.</t>
        </is>
      </c>
      <c r="AE5" s="6" t="n"/>
      <c r="AF5" s="6" t="inlineStr">
        <is>
          <t>Cons.</t>
        </is>
      </c>
      <c r="AG5" s="6" t="inlineStr">
        <is>
          <t>Rest.</t>
        </is>
      </c>
      <c r="AH5" s="6" t="n"/>
      <c r="AI5" s="6" t="inlineStr">
        <is>
          <t>Cons.</t>
        </is>
      </c>
      <c r="AJ5" s="6" t="inlineStr">
        <is>
          <t>Rest.</t>
        </is>
      </c>
      <c r="AK5" s="6" t="n"/>
      <c r="AL5" s="6" t="inlineStr">
        <is>
          <t>Cons.</t>
        </is>
      </c>
      <c r="AM5" s="6" t="inlineStr">
        <is>
          <t>Rest.</t>
        </is>
      </c>
      <c r="AN5" s="6" t="n"/>
      <c r="AO5" s="6" t="inlineStr">
        <is>
          <t>Cons.</t>
        </is>
      </c>
      <c r="AP5" s="6" t="inlineStr">
        <is>
          <t>Rest.</t>
        </is>
      </c>
      <c r="AQ5" s="6" t="n"/>
      <c r="AR5" s="6" t="inlineStr">
        <is>
          <t>Cons.</t>
        </is>
      </c>
      <c r="AS5" s="6" t="inlineStr">
        <is>
          <t>Rest.</t>
        </is>
      </c>
      <c r="AT5" s="6" t="n"/>
      <c r="AU5" s="6" t="inlineStr">
        <is>
          <t>Cons.</t>
        </is>
      </c>
      <c r="AV5" s="6" t="inlineStr">
        <is>
          <t>Rest.</t>
        </is>
      </c>
      <c r="AW5" s="6" t="n"/>
      <c r="AX5" s="6" t="inlineStr">
        <is>
          <t>Cons.</t>
        </is>
      </c>
      <c r="AY5" s="6" t="inlineStr">
        <is>
          <t>Rest.</t>
        </is>
      </c>
      <c r="AZ5" s="6" t="n"/>
      <c r="BA5" s="6" t="inlineStr">
        <is>
          <t>Cons.</t>
        </is>
      </c>
      <c r="BB5" s="6" t="inlineStr">
        <is>
          <t>Rest.</t>
        </is>
      </c>
      <c r="BC5" s="6" t="n"/>
      <c r="BD5" s="6" t="inlineStr">
        <is>
          <t>Cons.</t>
        </is>
      </c>
      <c r="BE5" s="6" t="inlineStr">
        <is>
          <t>Rest.</t>
        </is>
      </c>
      <c r="BF5" s="6" t="n"/>
      <c r="BG5" s="6" t="inlineStr">
        <is>
          <t>Cons.</t>
        </is>
      </c>
      <c r="BH5" s="6" t="inlineStr">
        <is>
          <t>Rest.</t>
        </is>
      </c>
      <c r="BI5" s="6" t="n"/>
      <c r="BJ5" s="6" t="inlineStr">
        <is>
          <t>Cons.</t>
        </is>
      </c>
      <c r="BK5" s="6" t="inlineStr">
        <is>
          <t>Rest.</t>
        </is>
      </c>
      <c r="BL5" s="6" t="n"/>
      <c r="BM5" s="6" t="inlineStr">
        <is>
          <t>Cons.</t>
        </is>
      </c>
      <c r="BN5" s="6" t="inlineStr">
        <is>
          <t>Rest.</t>
        </is>
      </c>
      <c r="BO5" s="6" t="n"/>
      <c r="BP5" s="6" t="inlineStr">
        <is>
          <t>Cons.</t>
        </is>
      </c>
      <c r="BQ5" s="6" t="inlineStr">
        <is>
          <t>Rest.</t>
        </is>
      </c>
      <c r="BS5" t="inlineStr">
        <is>
          <t>Clave Jira</t>
        </is>
      </c>
    </row>
    <row r="6" ht="24" customHeight="1">
      <c r="B6" s="7" t="inlineStr">
        <is>
          <t>HU-10_12</t>
        </is>
      </c>
      <c r="C6" s="7" t="inlineStr">
        <is>
          <t>[Prioridad: Alta] Como Técnico de Terreno, quiero cerrar la OT adjuntando fotografía de resolución para certificar el trabajo.</t>
        </is>
      </c>
      <c r="D6" s="7" t="inlineStr">
        <is>
          <t>Flujo backend de actualización y cierre técnico de OT</t>
        </is>
      </c>
      <c r="E6" s="7" t="inlineStr">
        <is>
          <t>Elías Guala</t>
        </is>
      </c>
      <c r="F6" s="7" t="inlineStr">
        <is>
          <t>No Iniciado</t>
        </is>
      </c>
      <c r="G6" s="7" t="n">
        <v>28</v>
      </c>
      <c r="H6" s="13" t="n">
        <v>0</v>
      </c>
      <c r="I6" s="13">
        <f>G6-H6</f>
        <v/>
      </c>
      <c r="J6" s="9" t="n"/>
      <c r="K6" s="13" t="n">
        <v>0</v>
      </c>
      <c r="L6" s="13">
        <f>I6-K6</f>
        <v/>
      </c>
      <c r="M6" s="9" t="n"/>
      <c r="N6" s="13" t="n">
        <v>0</v>
      </c>
      <c r="O6" s="13">
        <f>L6-N6</f>
        <v/>
      </c>
      <c r="P6" s="9" t="n"/>
      <c r="Q6" s="13" t="n">
        <v>0</v>
      </c>
      <c r="R6" s="13">
        <f>O6-Q6</f>
        <v/>
      </c>
      <c r="S6" s="9" t="n"/>
      <c r="T6" s="13" t="n">
        <v>0</v>
      </c>
      <c r="U6" s="13">
        <f>R6-T6</f>
        <v/>
      </c>
      <c r="V6" s="9" t="n"/>
      <c r="W6" s="13" t="n">
        <v>0</v>
      </c>
      <c r="X6" s="13">
        <f>U6-W6</f>
        <v/>
      </c>
      <c r="Y6" s="9" t="n"/>
      <c r="Z6" s="13" t="n">
        <v>0</v>
      </c>
      <c r="AA6" s="13">
        <f>X6-Z6</f>
        <v/>
      </c>
      <c r="AB6" s="9" t="n"/>
      <c r="AC6" s="13" t="n">
        <v>0</v>
      </c>
      <c r="AD6" s="13">
        <f>AA6-AC6</f>
        <v/>
      </c>
      <c r="AE6" s="9" t="n"/>
      <c r="AF6" s="13" t="n">
        <v>0</v>
      </c>
      <c r="AG6" s="13">
        <f>AD6-AF6</f>
        <v/>
      </c>
      <c r="AH6" s="9" t="n"/>
      <c r="AI6" s="13" t="n">
        <v>0</v>
      </c>
      <c r="AJ6" s="13">
        <f>AG6-AI6</f>
        <v/>
      </c>
      <c r="AK6" s="9" t="n"/>
      <c r="AL6" s="13" t="n">
        <v>0</v>
      </c>
      <c r="AM6" s="13">
        <f>AJ6-AL6</f>
        <v/>
      </c>
      <c r="AN6" s="9" t="n"/>
      <c r="AO6" s="13" t="n">
        <v>0</v>
      </c>
      <c r="AP6" s="13">
        <f>AM6-AO6</f>
        <v/>
      </c>
      <c r="AQ6" s="9" t="n"/>
      <c r="AR6" s="13" t="n">
        <v>0</v>
      </c>
      <c r="AS6" s="13">
        <f>AP6-AR6</f>
        <v/>
      </c>
      <c r="AT6" s="9" t="n"/>
      <c r="AU6" s="13" t="n">
        <v>0</v>
      </c>
      <c r="AV6" s="13">
        <f>AS6-AU6</f>
        <v/>
      </c>
      <c r="AW6" s="9" t="n"/>
      <c r="AX6" s="13" t="n">
        <v>0</v>
      </c>
      <c r="AY6" s="13">
        <f>AV6-AX6</f>
        <v/>
      </c>
      <c r="AZ6" s="9" t="n"/>
      <c r="BA6" s="13" t="n">
        <v>0</v>
      </c>
      <c r="BB6" s="13">
        <f>AY6-BA6</f>
        <v/>
      </c>
      <c r="BC6" s="9" t="n"/>
      <c r="BD6" s="13" t="n">
        <v>0</v>
      </c>
      <c r="BE6" s="13">
        <f>BB6-BD6</f>
        <v/>
      </c>
      <c r="BF6" s="9" t="n"/>
      <c r="BG6" s="13" t="n">
        <v>0</v>
      </c>
      <c r="BH6" s="13">
        <f>BE6-BG6</f>
        <v/>
      </c>
      <c r="BI6" s="9" t="n"/>
      <c r="BJ6" s="13" t="n">
        <v>0</v>
      </c>
      <c r="BK6" s="13">
        <f>BH6-BJ6</f>
        <v/>
      </c>
      <c r="BL6" s="9" t="n"/>
      <c r="BM6" s="13" t="n">
        <v>0</v>
      </c>
      <c r="BN6" s="13">
        <f>BK6-BM6</f>
        <v/>
      </c>
      <c r="BO6" s="9" t="n"/>
      <c r="BP6" s="14">
        <f>H6+K6+N6+Q6+T6+W6+Z6+AC6+AF6+AI6+AL6+AO6+AR6+AU6+AX6+BA6+BD6+BG6+BJ6+BM6</f>
        <v/>
      </c>
      <c r="BQ6" s="14">
        <f>BN6</f>
        <v/>
      </c>
      <c r="BS6" t="inlineStr">
        <is>
          <t>SMX-78</t>
        </is>
      </c>
    </row>
    <row r="7" ht="24" customHeight="1">
      <c r="B7" s="7" t="inlineStr">
        <is>
          <t>HU-13_14</t>
        </is>
      </c>
      <c r="C7" s="7" t="inlineStr">
        <is>
          <t>[Prioridad: Media] Como Gerente de Operaciones, quiero programar revisiones periódicas para anticipar fallas de infraestructura.</t>
        </is>
      </c>
      <c r="D7" s="7" t="inlineStr">
        <is>
          <t>Calendario interactivo UI de mantenimiento preventivo</t>
        </is>
      </c>
      <c r="E7" s="7" t="inlineStr">
        <is>
          <t>Elías Guala</t>
        </is>
      </c>
      <c r="F7" s="7" t="inlineStr">
        <is>
          <t>No Iniciado</t>
        </is>
      </c>
      <c r="G7" s="7" t="n">
        <v>28</v>
      </c>
      <c r="H7" s="13" t="n">
        <v>0</v>
      </c>
      <c r="I7" s="13">
        <f>G7-H7</f>
        <v/>
      </c>
      <c r="J7" s="9" t="n"/>
      <c r="K7" s="13" t="n">
        <v>0</v>
      </c>
      <c r="L7" s="13">
        <f>I7-K7</f>
        <v/>
      </c>
      <c r="M7" s="9" t="n"/>
      <c r="N7" s="13" t="n">
        <v>0</v>
      </c>
      <c r="O7" s="13">
        <f>L7-N7</f>
        <v/>
      </c>
      <c r="P7" s="9" t="n"/>
      <c r="Q7" s="13" t="n">
        <v>0</v>
      </c>
      <c r="R7" s="13">
        <f>O7-Q7</f>
        <v/>
      </c>
      <c r="S7" s="9" t="n"/>
      <c r="T7" s="13" t="n">
        <v>0</v>
      </c>
      <c r="U7" s="13">
        <f>R7-T7</f>
        <v/>
      </c>
      <c r="V7" s="9" t="n"/>
      <c r="W7" s="13" t="n">
        <v>0</v>
      </c>
      <c r="X7" s="13">
        <f>U7-W7</f>
        <v/>
      </c>
      <c r="Y7" s="9" t="n"/>
      <c r="Z7" s="13" t="n">
        <v>0</v>
      </c>
      <c r="AA7" s="13">
        <f>X7-Z7</f>
        <v/>
      </c>
      <c r="AB7" s="9" t="n"/>
      <c r="AC7" s="13" t="n">
        <v>0</v>
      </c>
      <c r="AD7" s="13">
        <f>AA7-AC7</f>
        <v/>
      </c>
      <c r="AE7" s="9" t="n"/>
      <c r="AF7" s="13" t="n">
        <v>0</v>
      </c>
      <c r="AG7" s="13">
        <f>AD7-AF7</f>
        <v/>
      </c>
      <c r="AH7" s="9" t="n"/>
      <c r="AI7" s="13" t="n">
        <v>0</v>
      </c>
      <c r="AJ7" s="13">
        <f>AG7-AI7</f>
        <v/>
      </c>
      <c r="AK7" s="9" t="n"/>
      <c r="AL7" s="13" t="n">
        <v>0</v>
      </c>
      <c r="AM7" s="13">
        <f>AJ7-AL7</f>
        <v/>
      </c>
      <c r="AN7" s="9" t="n"/>
      <c r="AO7" s="13" t="n">
        <v>0</v>
      </c>
      <c r="AP7" s="13">
        <f>AM7-AO7</f>
        <v/>
      </c>
      <c r="AQ7" s="9" t="n"/>
      <c r="AR7" s="13" t="n">
        <v>0</v>
      </c>
      <c r="AS7" s="13">
        <f>AP7-AR7</f>
        <v/>
      </c>
      <c r="AT7" s="9" t="n"/>
      <c r="AU7" s="13" t="n">
        <v>0</v>
      </c>
      <c r="AV7" s="13">
        <f>AS7-AU7</f>
        <v/>
      </c>
      <c r="AW7" s="9" t="n"/>
      <c r="AX7" s="13" t="n">
        <v>0</v>
      </c>
      <c r="AY7" s="13">
        <f>AV7-AX7</f>
        <v/>
      </c>
      <c r="AZ7" s="9" t="n"/>
      <c r="BA7" s="13" t="n">
        <v>0</v>
      </c>
      <c r="BB7" s="13">
        <f>AY7-BA7</f>
        <v/>
      </c>
      <c r="BC7" s="9" t="n"/>
      <c r="BD7" s="13" t="n">
        <v>0</v>
      </c>
      <c r="BE7" s="13">
        <f>BB7-BD7</f>
        <v/>
      </c>
      <c r="BF7" s="9" t="n"/>
      <c r="BG7" s="13" t="n">
        <v>0</v>
      </c>
      <c r="BH7" s="13">
        <f>BE7-BG7</f>
        <v/>
      </c>
      <c r="BI7" s="9" t="n"/>
      <c r="BJ7" s="13" t="n">
        <v>0</v>
      </c>
      <c r="BK7" s="13">
        <f>BH7-BJ7</f>
        <v/>
      </c>
      <c r="BL7" s="9" t="n"/>
      <c r="BM7" s="13" t="n">
        <v>0</v>
      </c>
      <c r="BN7" s="13">
        <f>BK7-BM7</f>
        <v/>
      </c>
      <c r="BO7" s="9" t="n"/>
      <c r="BP7" s="14">
        <f>H7+K7+N7+Q7+T7+W7+Z7+AC7+AF7+AI7+AL7+AO7+AR7+AU7+AX7+BA7+BD7+BG7+BJ7+BM7</f>
        <v/>
      </c>
      <c r="BQ7" s="14">
        <f>BN7</f>
        <v/>
      </c>
      <c r="BS7" t="inlineStr">
        <is>
          <t>SMX-79</t>
        </is>
      </c>
    </row>
    <row r="8" ht="24" customHeight="1">
      <c r="B8" s="7" t="inlineStr">
        <is>
          <t>HU-17_18</t>
        </is>
      </c>
      <c r="C8" s="7" t="inlineStr">
        <is>
          <t>[Prioridad: Alta] Como Gerente de Operaciones, quiero un dashboard interactivo con métricas para evaluar la operación técnica.</t>
        </is>
      </c>
      <c r="D8" s="7" t="inlineStr">
        <is>
          <t>Desarrollo de gráficos analíticos (Chart.js) en frontend</t>
        </is>
      </c>
      <c r="E8" s="7" t="inlineStr">
        <is>
          <t>Elías Guala</t>
        </is>
      </c>
      <c r="F8" s="7" t="inlineStr">
        <is>
          <t>No Iniciado</t>
        </is>
      </c>
      <c r="G8" s="7" t="n">
        <v>28</v>
      </c>
      <c r="H8" s="13" t="n">
        <v>0</v>
      </c>
      <c r="I8" s="13">
        <f>G8-H8</f>
        <v/>
      </c>
      <c r="J8" s="9" t="n"/>
      <c r="K8" s="13" t="n">
        <v>0</v>
      </c>
      <c r="L8" s="13">
        <f>I8-K8</f>
        <v/>
      </c>
      <c r="M8" s="9" t="n"/>
      <c r="N8" s="13" t="n">
        <v>0</v>
      </c>
      <c r="O8" s="13">
        <f>L8-N8</f>
        <v/>
      </c>
      <c r="P8" s="9" t="n"/>
      <c r="Q8" s="13" t="n">
        <v>0</v>
      </c>
      <c r="R8" s="13">
        <f>O8-Q8</f>
        <v/>
      </c>
      <c r="S8" s="9" t="n"/>
      <c r="T8" s="13" t="n">
        <v>0</v>
      </c>
      <c r="U8" s="13">
        <f>R8-T8</f>
        <v/>
      </c>
      <c r="V8" s="9" t="n"/>
      <c r="W8" s="13" t="n">
        <v>0</v>
      </c>
      <c r="X8" s="13">
        <f>U8-W8</f>
        <v/>
      </c>
      <c r="Y8" s="9" t="n"/>
      <c r="Z8" s="13" t="n">
        <v>0</v>
      </c>
      <c r="AA8" s="13">
        <f>X8-Z8</f>
        <v/>
      </c>
      <c r="AB8" s="9" t="n"/>
      <c r="AC8" s="13" t="n">
        <v>0</v>
      </c>
      <c r="AD8" s="13">
        <f>AA8-AC8</f>
        <v/>
      </c>
      <c r="AE8" s="9" t="n"/>
      <c r="AF8" s="13" t="n">
        <v>0</v>
      </c>
      <c r="AG8" s="13">
        <f>AD8-AF8</f>
        <v/>
      </c>
      <c r="AH8" s="9" t="n"/>
      <c r="AI8" s="13" t="n">
        <v>0</v>
      </c>
      <c r="AJ8" s="13">
        <f>AG8-AI8</f>
        <v/>
      </c>
      <c r="AK8" s="9" t="n"/>
      <c r="AL8" s="13" t="n">
        <v>0</v>
      </c>
      <c r="AM8" s="13">
        <f>AJ8-AL8</f>
        <v/>
      </c>
      <c r="AN8" s="9" t="n"/>
      <c r="AO8" s="13" t="n">
        <v>0</v>
      </c>
      <c r="AP8" s="13">
        <f>AM8-AO8</f>
        <v/>
      </c>
      <c r="AQ8" s="9" t="n"/>
      <c r="AR8" s="13" t="n">
        <v>0</v>
      </c>
      <c r="AS8" s="13">
        <f>AP8-AR8</f>
        <v/>
      </c>
      <c r="AT8" s="9" t="n"/>
      <c r="AU8" s="13" t="n">
        <v>0</v>
      </c>
      <c r="AV8" s="13">
        <f>AS8-AU8</f>
        <v/>
      </c>
      <c r="AW8" s="9" t="n"/>
      <c r="AX8" s="13" t="n">
        <v>0</v>
      </c>
      <c r="AY8" s="13">
        <f>AV8-AX8</f>
        <v/>
      </c>
      <c r="AZ8" s="9" t="n"/>
      <c r="BA8" s="13" t="n">
        <v>0</v>
      </c>
      <c r="BB8" s="13">
        <f>AY8-BA8</f>
        <v/>
      </c>
      <c r="BC8" s="9" t="n"/>
      <c r="BD8" s="13" t="n">
        <v>0</v>
      </c>
      <c r="BE8" s="13">
        <f>BB8-BD8</f>
        <v/>
      </c>
      <c r="BF8" s="9" t="n"/>
      <c r="BG8" s="13" t="n">
        <v>0</v>
      </c>
      <c r="BH8" s="13">
        <f>BE8-BG8</f>
        <v/>
      </c>
      <c r="BI8" s="9" t="n"/>
      <c r="BJ8" s="13" t="n">
        <v>0</v>
      </c>
      <c r="BK8" s="13">
        <f>BH8-BJ8</f>
        <v/>
      </c>
      <c r="BL8" s="9" t="n"/>
      <c r="BM8" s="13" t="n">
        <v>0</v>
      </c>
      <c r="BN8" s="13">
        <f>BK8-BM8</f>
        <v/>
      </c>
      <c r="BO8" s="9" t="n"/>
      <c r="BP8" s="14">
        <f>H8+K8+N8+Q8+T8+W8+Z8+AC8+AF8+AI8+AL8+AO8+AR8+AU8+AX8+BA8+BD8+BG8+BJ8+BM8</f>
        <v/>
      </c>
      <c r="BQ8" s="14">
        <f>BN8</f>
        <v/>
      </c>
      <c r="BS8" t="inlineStr">
        <is>
          <t>SMX-80</t>
        </is>
      </c>
    </row>
    <row r="9" ht="24" customHeight="1">
      <c r="B9" s="15" t="inlineStr">
        <is>
          <t>HU-17_18</t>
        </is>
      </c>
      <c r="C9" s="16" t="inlineStr">
        <is>
          <t>[Prioridad: Alta] Como Gerente de Operaciones, quiero un dashboard interactivo con métricas para evaluar la operación técnica.</t>
        </is>
      </c>
      <c r="D9" s="7" t="inlineStr">
        <is>
          <t>Queries estadísticas y APIs de consolidación de KPIs</t>
        </is>
      </c>
      <c r="E9" s="7" t="inlineStr">
        <is>
          <t>Elías Guala</t>
        </is>
      </c>
      <c r="F9" s="7" t="inlineStr">
        <is>
          <t>No Iniciado</t>
        </is>
      </c>
      <c r="G9" s="7" t="n">
        <v>28</v>
      </c>
      <c r="H9" s="13" t="n">
        <v>0</v>
      </c>
      <c r="I9" s="13">
        <f>G9-H9</f>
        <v/>
      </c>
      <c r="J9" s="9" t="n"/>
      <c r="K9" s="13" t="n">
        <v>0</v>
      </c>
      <c r="L9" s="13">
        <f>I9-K9</f>
        <v/>
      </c>
      <c r="M9" s="9" t="n"/>
      <c r="N9" s="13" t="n">
        <v>0</v>
      </c>
      <c r="O9" s="13">
        <f>L9-N9</f>
        <v/>
      </c>
      <c r="P9" s="9" t="n"/>
      <c r="Q9" s="13" t="n">
        <v>0</v>
      </c>
      <c r="R9" s="13">
        <f>O9-Q9</f>
        <v/>
      </c>
      <c r="S9" s="9" t="n"/>
      <c r="T9" s="13" t="n">
        <v>0</v>
      </c>
      <c r="U9" s="13">
        <f>R9-T9</f>
        <v/>
      </c>
      <c r="V9" s="9" t="n"/>
      <c r="W9" s="13" t="n">
        <v>0</v>
      </c>
      <c r="X9" s="13">
        <f>U9-W9</f>
        <v/>
      </c>
      <c r="Y9" s="9" t="n"/>
      <c r="Z9" s="13" t="n">
        <v>0</v>
      </c>
      <c r="AA9" s="13">
        <f>X9-Z9</f>
        <v/>
      </c>
      <c r="AB9" s="9" t="n"/>
      <c r="AC9" s="13" t="n">
        <v>0</v>
      </c>
      <c r="AD9" s="13">
        <f>AA9-AC9</f>
        <v/>
      </c>
      <c r="AE9" s="9" t="n"/>
      <c r="AF9" s="13" t="n">
        <v>0</v>
      </c>
      <c r="AG9" s="13">
        <f>AD9-AF9</f>
        <v/>
      </c>
      <c r="AH9" s="9" t="n"/>
      <c r="AI9" s="13" t="n">
        <v>0</v>
      </c>
      <c r="AJ9" s="13">
        <f>AG9-AI9</f>
        <v/>
      </c>
      <c r="AK9" s="9" t="n"/>
      <c r="AL9" s="13" t="n">
        <v>0</v>
      </c>
      <c r="AM9" s="13">
        <f>AJ9-AL9</f>
        <v/>
      </c>
      <c r="AN9" s="9" t="n"/>
      <c r="AO9" s="13" t="n">
        <v>0</v>
      </c>
      <c r="AP9" s="13">
        <f>AM9-AO9</f>
        <v/>
      </c>
      <c r="AQ9" s="9" t="n"/>
      <c r="AR9" s="13" t="n">
        <v>0</v>
      </c>
      <c r="AS9" s="13">
        <f>AP9-AR9</f>
        <v/>
      </c>
      <c r="AT9" s="9" t="n"/>
      <c r="AU9" s="13" t="n">
        <v>0</v>
      </c>
      <c r="AV9" s="13">
        <f>AS9-AU9</f>
        <v/>
      </c>
      <c r="AW9" s="9" t="n"/>
      <c r="AX9" s="13" t="n">
        <v>0</v>
      </c>
      <c r="AY9" s="13">
        <f>AV9-AX9</f>
        <v/>
      </c>
      <c r="AZ9" s="9" t="n"/>
      <c r="BA9" s="13" t="n">
        <v>0</v>
      </c>
      <c r="BB9" s="13">
        <f>AY9-BA9</f>
        <v/>
      </c>
      <c r="BC9" s="9" t="n"/>
      <c r="BD9" s="13" t="n">
        <v>0</v>
      </c>
      <c r="BE9" s="13">
        <f>BB9-BD9</f>
        <v/>
      </c>
      <c r="BF9" s="9" t="n"/>
      <c r="BG9" s="13" t="n">
        <v>0</v>
      </c>
      <c r="BH9" s="13">
        <f>BE9-BG9</f>
        <v/>
      </c>
      <c r="BI9" s="9" t="n"/>
      <c r="BJ9" s="13" t="n">
        <v>0</v>
      </c>
      <c r="BK9" s="13">
        <f>BH9-BJ9</f>
        <v/>
      </c>
      <c r="BL9" s="9" t="n"/>
      <c r="BM9" s="13" t="n">
        <v>0</v>
      </c>
      <c r="BN9" s="13">
        <f>BK9-BM9</f>
        <v/>
      </c>
      <c r="BO9" s="9" t="n"/>
      <c r="BP9" s="14">
        <f>H9+K9+N9+Q9+T9+W9+Z9+AC9+AF9+AI9+AL9+AO9+AR9+AU9+AX9+BA9+BD9+BG9+BJ9+BM9</f>
        <v/>
      </c>
      <c r="BQ9" s="14">
        <f>BN9</f>
        <v/>
      </c>
      <c r="BS9" t="inlineStr">
        <is>
          <t>SMX-81</t>
        </is>
      </c>
    </row>
    <row r="10" ht="24" customHeight="1">
      <c r="B10" s="7" t="inlineStr">
        <is>
          <t>GEST-03</t>
        </is>
      </c>
      <c r="C10" s="7" t="inlineStr">
        <is>
          <t>[Prioridad: Alta] Como Scrum Master, requiero preparar el pase a producción y coordinar la entrega final del MVP.</t>
        </is>
      </c>
      <c r="D10" s="7" t="inlineStr">
        <is>
          <t>Gestión de despliegue, pase a producción y preparación de demo</t>
        </is>
      </c>
      <c r="E10" s="7" t="inlineStr">
        <is>
          <t>Maximiliano Duarte</t>
        </is>
      </c>
      <c r="F10" s="7" t="inlineStr">
        <is>
          <t>No Iniciado</t>
        </is>
      </c>
      <c r="G10" s="7" t="n">
        <v>28</v>
      </c>
      <c r="H10" s="13" t="n">
        <v>0</v>
      </c>
      <c r="I10" s="13">
        <f>G10-H10</f>
        <v/>
      </c>
      <c r="J10" s="9" t="n"/>
      <c r="K10" s="13" t="n">
        <v>0</v>
      </c>
      <c r="L10" s="13">
        <f>I10-K10</f>
        <v/>
      </c>
      <c r="M10" s="9" t="n"/>
      <c r="N10" s="13" t="n">
        <v>0</v>
      </c>
      <c r="O10" s="13">
        <f>L10-N10</f>
        <v/>
      </c>
      <c r="P10" s="9" t="n"/>
      <c r="Q10" s="13" t="n">
        <v>0</v>
      </c>
      <c r="R10" s="13">
        <f>O10-Q10</f>
        <v/>
      </c>
      <c r="S10" s="9" t="n"/>
      <c r="T10" s="13" t="n">
        <v>0</v>
      </c>
      <c r="U10" s="13">
        <f>R10-T10</f>
        <v/>
      </c>
      <c r="V10" s="9" t="n"/>
      <c r="W10" s="13" t="n">
        <v>0</v>
      </c>
      <c r="X10" s="13">
        <f>U10-W10</f>
        <v/>
      </c>
      <c r="Y10" s="9" t="n"/>
      <c r="Z10" s="13" t="n">
        <v>0</v>
      </c>
      <c r="AA10" s="13">
        <f>X10-Z10</f>
        <v/>
      </c>
      <c r="AB10" s="9" t="n"/>
      <c r="AC10" s="13" t="n">
        <v>0</v>
      </c>
      <c r="AD10" s="13">
        <f>AA10-AC10</f>
        <v/>
      </c>
      <c r="AE10" s="9" t="n"/>
      <c r="AF10" s="13" t="n">
        <v>0</v>
      </c>
      <c r="AG10" s="13">
        <f>AD10-AF10</f>
        <v/>
      </c>
      <c r="AH10" s="9" t="n"/>
      <c r="AI10" s="13" t="n">
        <v>0</v>
      </c>
      <c r="AJ10" s="13">
        <f>AG10-AI10</f>
        <v/>
      </c>
      <c r="AK10" s="9" t="n"/>
      <c r="AL10" s="13" t="n">
        <v>0</v>
      </c>
      <c r="AM10" s="13">
        <f>AJ10-AL10</f>
        <v/>
      </c>
      <c r="AN10" s="9" t="n"/>
      <c r="AO10" s="13" t="n">
        <v>0</v>
      </c>
      <c r="AP10" s="13">
        <f>AM10-AO10</f>
        <v/>
      </c>
      <c r="AQ10" s="9" t="n"/>
      <c r="AR10" s="13" t="n">
        <v>0</v>
      </c>
      <c r="AS10" s="13">
        <f>AP10-AR10</f>
        <v/>
      </c>
      <c r="AT10" s="9" t="n"/>
      <c r="AU10" s="13" t="n">
        <v>0</v>
      </c>
      <c r="AV10" s="13">
        <f>AS10-AU10</f>
        <v/>
      </c>
      <c r="AW10" s="9" t="n"/>
      <c r="AX10" s="13" t="n">
        <v>0</v>
      </c>
      <c r="AY10" s="13">
        <f>AV10-AX10</f>
        <v/>
      </c>
      <c r="AZ10" s="9" t="n"/>
      <c r="BA10" s="13" t="n">
        <v>0</v>
      </c>
      <c r="BB10" s="13">
        <f>AY10-BA10</f>
        <v/>
      </c>
      <c r="BC10" s="9" t="n"/>
      <c r="BD10" s="13" t="n">
        <v>0</v>
      </c>
      <c r="BE10" s="13">
        <f>BB10-BD10</f>
        <v/>
      </c>
      <c r="BF10" s="9" t="n"/>
      <c r="BG10" s="13" t="n">
        <v>0</v>
      </c>
      <c r="BH10" s="13">
        <f>BE10-BG10</f>
        <v/>
      </c>
      <c r="BI10" s="9" t="n"/>
      <c r="BJ10" s="13" t="n">
        <v>0</v>
      </c>
      <c r="BK10" s="13">
        <f>BH10-BJ10</f>
        <v/>
      </c>
      <c r="BL10" s="9" t="n"/>
      <c r="BM10" s="13" t="n">
        <v>0</v>
      </c>
      <c r="BN10" s="13">
        <f>BK10-BM10</f>
        <v/>
      </c>
      <c r="BO10" s="9" t="n"/>
      <c r="BP10" s="14">
        <f>H10+K10+N10+Q10+T10+W10+Z10+AC10+AF10+AI10+AL10+AO10+AR10+AU10+AX10+BA10+BD10+BG10+BJ10+BM10</f>
        <v/>
      </c>
      <c r="BQ10" s="14">
        <f>BN10</f>
        <v/>
      </c>
      <c r="BS10" t="inlineStr">
        <is>
          <t>SMX-63</t>
        </is>
      </c>
    </row>
    <row r="11" ht="24" customHeight="1">
      <c r="B11" s="7" t="inlineStr">
        <is>
          <t>QA-04</t>
        </is>
      </c>
      <c r="C11" s="7" t="inlineStr">
        <is>
          <t>[Prioridad: Alta] Como Responsable de QA, quiero certificar el MVP completo para garantizar el cumplimiento de la rúbrica.</t>
        </is>
      </c>
      <c r="D11" s="7" t="inlineStr">
        <is>
          <t>Validación final integral UAT y pruebas de aceptación del MVP</t>
        </is>
      </c>
      <c r="E11" s="7" t="inlineStr">
        <is>
          <t>Maximiliano Duarte</t>
        </is>
      </c>
      <c r="F11" s="7" t="inlineStr">
        <is>
          <t>No Iniciado</t>
        </is>
      </c>
      <c r="G11" s="7" t="n">
        <v>28</v>
      </c>
      <c r="H11" s="13" t="n">
        <v>0</v>
      </c>
      <c r="I11" s="13">
        <f>G11-H11</f>
        <v/>
      </c>
      <c r="J11" s="9" t="n"/>
      <c r="K11" s="13" t="n">
        <v>0</v>
      </c>
      <c r="L11" s="13">
        <f>I11-K11</f>
        <v/>
      </c>
      <c r="M11" s="9" t="n"/>
      <c r="N11" s="13" t="n">
        <v>0</v>
      </c>
      <c r="O11" s="13">
        <f>L11-N11</f>
        <v/>
      </c>
      <c r="P11" s="9" t="n"/>
      <c r="Q11" s="13" t="n">
        <v>0</v>
      </c>
      <c r="R11" s="13">
        <f>O11-Q11</f>
        <v/>
      </c>
      <c r="S11" s="9" t="n"/>
      <c r="T11" s="13" t="n">
        <v>0</v>
      </c>
      <c r="U11" s="13">
        <f>R11-T11</f>
        <v/>
      </c>
      <c r="V11" s="9" t="n"/>
      <c r="W11" s="13" t="n">
        <v>0</v>
      </c>
      <c r="X11" s="13">
        <f>U11-W11</f>
        <v/>
      </c>
      <c r="Y11" s="9" t="n"/>
      <c r="Z11" s="13" t="n">
        <v>0</v>
      </c>
      <c r="AA11" s="13">
        <f>X11-Z11</f>
        <v/>
      </c>
      <c r="AB11" s="9" t="n"/>
      <c r="AC11" s="13" t="n">
        <v>0</v>
      </c>
      <c r="AD11" s="13">
        <f>AA11-AC11</f>
        <v/>
      </c>
      <c r="AE11" s="9" t="n"/>
      <c r="AF11" s="13" t="n">
        <v>0</v>
      </c>
      <c r="AG11" s="13">
        <f>AD11-AF11</f>
        <v/>
      </c>
      <c r="AH11" s="9" t="n"/>
      <c r="AI11" s="13" t="n">
        <v>0</v>
      </c>
      <c r="AJ11" s="13">
        <f>AG11-AI11</f>
        <v/>
      </c>
      <c r="AK11" s="9" t="n"/>
      <c r="AL11" s="13" t="n">
        <v>0</v>
      </c>
      <c r="AM11" s="13">
        <f>AJ11-AL11</f>
        <v/>
      </c>
      <c r="AN11" s="9" t="n"/>
      <c r="AO11" s="13" t="n">
        <v>0</v>
      </c>
      <c r="AP11" s="13">
        <f>AM11-AO11</f>
        <v/>
      </c>
      <c r="AQ11" s="9" t="n"/>
      <c r="AR11" s="13" t="n">
        <v>0</v>
      </c>
      <c r="AS11" s="13">
        <f>AP11-AR11</f>
        <v/>
      </c>
      <c r="AT11" s="9" t="n"/>
      <c r="AU11" s="13" t="n">
        <v>0</v>
      </c>
      <c r="AV11" s="13">
        <f>AS11-AU11</f>
        <v/>
      </c>
      <c r="AW11" s="9" t="n"/>
      <c r="AX11" s="13" t="n">
        <v>0</v>
      </c>
      <c r="AY11" s="13">
        <f>AV11-AX11</f>
        <v/>
      </c>
      <c r="AZ11" s="9" t="n"/>
      <c r="BA11" s="13" t="n">
        <v>0</v>
      </c>
      <c r="BB11" s="13">
        <f>AY11-BA11</f>
        <v/>
      </c>
      <c r="BC11" s="9" t="n"/>
      <c r="BD11" s="13" t="n">
        <v>0</v>
      </c>
      <c r="BE11" s="13">
        <f>BB11-BD11</f>
        <v/>
      </c>
      <c r="BF11" s="9" t="n"/>
      <c r="BG11" s="13" t="n">
        <v>0</v>
      </c>
      <c r="BH11" s="13">
        <f>BE11-BG11</f>
        <v/>
      </c>
      <c r="BI11" s="9" t="n"/>
      <c r="BJ11" s="13" t="n">
        <v>0</v>
      </c>
      <c r="BK11" s="13">
        <f>BH11-BJ11</f>
        <v/>
      </c>
      <c r="BL11" s="9" t="n"/>
      <c r="BM11" s="13" t="n">
        <v>0</v>
      </c>
      <c r="BN11" s="13">
        <f>BK11-BM11</f>
        <v/>
      </c>
      <c r="BO11" s="9" t="n"/>
      <c r="BP11" s="14">
        <f>H11+K11+N11+Q11+T11+W11+Z11+AC11+AF11+AI11+AL11+AO11+AR11+AU11+AX11+BA11+BD11+BG11+BJ11+BM11</f>
        <v/>
      </c>
      <c r="BQ11" s="14">
        <f>BN11</f>
        <v/>
      </c>
      <c r="BS11" t="inlineStr">
        <is>
          <t>SMX-64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14"/>
  <sheetViews>
    <sheetView workbookViewId="0">
      <selection activeCell="A1" sqref="A1"/>
    </sheetView>
  </sheetViews>
  <sheetFormatPr baseColWidth="8" defaultRowHeight="15"/>
  <cols>
    <col width="1.5703125" customWidth="1" min="1" max="1"/>
    <col width="27.7109375" customWidth="1" min="2" max="2"/>
    <col width="86" customWidth="1" min="3" max="3"/>
    <col width="2.85546875" customWidth="1" min="4" max="4"/>
    <col width="11.42578125" customWidth="1" min="5" max="5"/>
  </cols>
  <sheetData>
    <row r="1">
      <c r="B1" s="1" t="inlineStr">
        <is>
          <t>Lista de tareas de la iteración (Product Backlog): Instructivo</t>
        </is>
      </c>
    </row>
    <row r="2">
      <c r="B2" s="2" t="inlineStr">
        <is>
          <t>Elaborado por: pmoinformatica.com</t>
        </is>
      </c>
    </row>
    <row r="4">
      <c r="B4" s="11" t="inlineStr">
        <is>
          <t>Columna</t>
        </is>
      </c>
      <c r="C4" s="11" t="inlineStr">
        <is>
          <t>Instrucciones</t>
        </is>
      </c>
    </row>
    <row r="5">
      <c r="B5" s="7">
        <f>'Historias de Usuario'!B5</f>
        <v/>
      </c>
      <c r="C5" s="7" t="inlineStr">
        <is>
          <t>Código que hace referencia al elemento de la pila de producto (Product Backlog) al cual la tarea de la iteración hace referencia.</t>
        </is>
      </c>
    </row>
    <row r="6">
      <c r="B6" s="7">
        <f>'Historias de Usuario'!C5</f>
        <v/>
      </c>
      <c r="C6" s="7" t="inlineStr">
        <is>
          <t>Enunciado o nombre del elemento de pila de producto (Product Backlog). En la mayoría de los casos, el nombre asignado al elemento de product backlog es el mismo de la historia de usuario.</t>
        </is>
      </c>
    </row>
    <row r="7">
      <c r="B7" s="7" t="inlineStr">
        <is>
          <t>Tarea</t>
        </is>
      </c>
      <c r="C7" s="7" t="inlineStr">
        <is>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is>
      </c>
    </row>
    <row r="8">
      <c r="B8" s="7" t="inlineStr">
        <is>
          <t>Dueño / Voluntario</t>
        </is>
      </c>
      <c r="C8" s="7"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row>
    <row r="9">
      <c r="B9" s="7" t="inlineStr">
        <is>
          <t>Estatus</t>
        </is>
      </c>
      <c r="C9" s="7" t="inlineStr">
        <is>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is>
      </c>
    </row>
    <row r="10">
      <c r="B10" s="7" t="inlineStr">
        <is>
          <t>Horas estimadas totales</t>
        </is>
      </c>
      <c r="C10" s="7" t="inlineStr">
        <is>
          <t>Horas que han sido estimadas por el equipo Scrum que serán necesarias para ejecutar la tarea. La asignación de estimados se realiza durante la reunión de planificación de la iteración (Sprint Planning Meeting).</t>
        </is>
      </c>
    </row>
    <row r="11">
      <c r="B11" s="7" t="inlineStr">
        <is>
          <t>Día 1 …. Día n</t>
        </is>
      </c>
      <c r="C11" s="7" t="inlineStr">
        <is>
          <t>Una vez comienza a ejecutarse la iteración, se utilizan las columnas para llevar un registro de las horas que se han consumido en cada tarea y cuantas horas restan para completarla.</t>
        </is>
      </c>
    </row>
    <row r="12">
      <c r="B12" s="7" t="inlineStr">
        <is>
          <t>Cons.</t>
        </is>
      </c>
      <c r="C12" s="7" t="inlineStr">
        <is>
          <t>Horas consumidas en la tarea en el día especificado.</t>
        </is>
      </c>
    </row>
    <row r="13">
      <c r="B13" s="7" t="inlineStr">
        <is>
          <t>Rest.</t>
        </is>
      </c>
      <c r="C13" s="7" t="inlineStr">
        <is>
          <t>Horas que restan luego de registrarse el consumo diario. Se calcula tomando las horas que restaban el día anterior y se resta las horas consumidas en el día. Si se trata del primer día, se restan las horas del día 1 al estimado de horas totales.</t>
        </is>
      </c>
    </row>
    <row r="14">
      <c r="B14" s="7" t="inlineStr">
        <is>
          <t>Total</t>
        </is>
      </c>
      <c r="C14" s="7" t="inlineStr">
        <is>
          <t>Registra la suma de todas las horas consumidas en el Sprint y las horas que restan finalmente. Las horas restantes deberían ser de cero si se logro ejecutar la tarea en su totalidad.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2026-09-24T13:48:26Z</dcterms:created>
  <dcterms:modified xmlns:dcterms="http://purl.org/dc/terms/" xmlns:xsi="http://www.w3.org/2001/XMLSchema-instance" xsi:type="dcterms:W3CDTF">2026-10-15T00:48:07Z</dcterms:modified>
</cp:coreProperties>
</file>