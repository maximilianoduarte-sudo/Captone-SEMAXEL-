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9" autoFilterDateGrouping="1"/>
  </bookViews>
  <sheets>
    <sheet xmlns:r="http://schemas.openxmlformats.org/officeDocument/2006/relationships" name="REMUNERACIONES" sheetId="1" state="visible" r:id="rId1"/>
    <sheet xmlns:r="http://schemas.openxmlformats.org/officeDocument/2006/relationships" name="EQUIPOS E INFRAESTRUCTURA" sheetId="2" state="visible" r:id="rId2"/>
    <sheet xmlns:r="http://schemas.openxmlformats.org/officeDocument/2006/relationships" name="SOFTWARE Y FUNGIBLES" sheetId="3" state="visible" r:id="rId3"/>
    <sheet xmlns:r="http://schemas.openxmlformats.org/officeDocument/2006/relationships" name="OTROS" sheetId="4" state="visible" r:id="rId4"/>
    <sheet xmlns:r="http://schemas.openxmlformats.org/officeDocument/2006/relationships" name="TOTAL" sheetId="5" state="visible" r:id="rId5"/>
    <sheet xmlns:r="http://schemas.openxmlformats.org/officeDocument/2006/relationships" name="Beneficio (Ventas)" sheetId="6" state="visible" r:id="rId6"/>
    <sheet xmlns:r="http://schemas.openxmlformats.org/officeDocument/2006/relationships" name="Costos Operación" sheetId="7" state="visible" r:id="rId7"/>
    <sheet xmlns:r="http://schemas.openxmlformats.org/officeDocument/2006/relationships" name="Inversiones" sheetId="8" state="visible" r:id="rId8"/>
    <sheet xmlns:r="http://schemas.openxmlformats.org/officeDocument/2006/relationships" name="Préstamo" sheetId="9" state="visible" r:id="rId9"/>
    <sheet xmlns:r="http://schemas.openxmlformats.org/officeDocument/2006/relationships" name="Flujo de Caja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9">
    <numFmt numFmtId="164" formatCode="_-* #,##0.00_-;\-* #,##0.00_-;_-* &quot;-&quot;??_-;_-@_-"/>
    <numFmt numFmtId="165" formatCode="#,##0_ ;\-#,##0\ "/>
    <numFmt numFmtId="166" formatCode="_-* #,##0.000_-;\-* #,##0.000_-;_-* &quot;-&quot;??_-;_-@_-"/>
    <numFmt numFmtId="167" formatCode="_-&quot;$&quot;\ * #,##0_-;\-&quot;$&quot;\ * #,##0_-;_-&quot;$&quot;\ * &quot;-&quot;??_-;_-@_-"/>
    <numFmt numFmtId="168" formatCode="&quot;$&quot;\ #,##0;[Red]\-&quot;$&quot;\ #,##0"/>
    <numFmt numFmtId="169" formatCode="_-* #,##0_-;\-* #,##0_-;_-* &quot;-&quot;??_-;_-@_-"/>
    <numFmt numFmtId="170" formatCode="&quot;$&quot;\ #,##0.00;[Red]\-&quot;$&quot;\ #,##0.00"/>
    <numFmt numFmtId="171" formatCode="_ * #,##0_ ;_ * \-#,##0_ ;_ * &quot;-&quot;_ ;_ @_ "/>
    <numFmt numFmtId="172" formatCode="_-&quot;$&quot;\ * #,##0.00_-;\-&quot;$&quot;\ * #,##0.00_-;_-&quot;$&quot;\ * &quot;-&quot;??_-;_-@_-"/>
  </numFmts>
  <fonts count="5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Verdana"/>
      <family val="2"/>
      <b val="1"/>
      <sz val="8"/>
    </font>
    <font>
      <name val="Verdana"/>
      <family val="2"/>
      <sz val="8"/>
    </font>
    <font>
      <name val="Verdana"/>
      <family val="2"/>
      <b val="1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rebuchet MS"/>
      <family val="2"/>
      <color rgb="FF000000"/>
      <sz val="10"/>
    </font>
    <font>
      <name val="Trebuchet MS"/>
      <family val="2"/>
      <color indexed="30"/>
      <sz val="10"/>
    </font>
    <font>
      <name val="Trebuchet MS"/>
      <family val="2"/>
      <color indexed="30"/>
      <sz val="10"/>
      <vertAlign val="superscript"/>
    </font>
    <font>
      <name val="Trebuchet MS"/>
      <family val="2"/>
      <color indexed="8"/>
      <sz val="10"/>
    </font>
    <font>
      <name val="Trebuchet MS"/>
      <family val="2"/>
      <color indexed="17"/>
      <sz val="10"/>
    </font>
    <font>
      <name val="Trebuchet MS"/>
      <family val="2"/>
      <color indexed="17"/>
      <sz val="10"/>
      <vertAlign val="superscript"/>
    </font>
    <font>
      <name val="Arial"/>
      <family val="2"/>
      <sz val="9"/>
    </font>
    <font>
      <name val="Arial"/>
      <family val="2"/>
      <color rgb="FF0070C0"/>
      <sz val="9"/>
    </font>
    <font>
      <name val="Arial"/>
      <family val="2"/>
      <color rgb="FF00B050"/>
      <sz val="9"/>
    </font>
    <font>
      <name val="Verdana"/>
      <family val="2"/>
      <color rgb="FFFF0000"/>
      <sz val="8"/>
    </font>
    <font>
      <name val="Arial"/>
      <family val="2"/>
      <b val="1"/>
      <sz val="10"/>
    </font>
    <font>
      <name val="Verdana"/>
      <family val="2"/>
      <b val="1"/>
      <color theme="0"/>
      <sz val="8"/>
    </font>
    <font>
      <name val="Verdana"/>
      <family val="2"/>
      <b val="1"/>
      <sz val="8"/>
      <u val="single"/>
    </font>
    <font>
      <name val="Verdana"/>
      <family val="2"/>
      <b val="1"/>
      <color rgb="FF0070C0"/>
      <sz val="8"/>
    </font>
    <font>
      <name val="Verdana"/>
      <family val="2"/>
      <sz val="9"/>
    </font>
    <font>
      <name val="Calibri"/>
      <family val="2"/>
      <color rgb="FF0070C0"/>
      <sz val="11"/>
      <scheme val="minor"/>
    </font>
    <font>
      <name val="Calibri"/>
      <family val="2"/>
      <b val="1"/>
      <color rgb="FF0070C0"/>
      <sz val="11"/>
      <scheme val="minor"/>
    </font>
    <font>
      <name val="Verdana"/>
      <family val="2"/>
      <sz val="7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8"/>
      <scheme val="minor"/>
    </font>
    <font>
      <name val="Verdana"/>
      <family val="2"/>
      <color theme="1"/>
      <sz val="8"/>
    </font>
    <font>
      <name val="Calibri"/>
      <family val="2"/>
      <b val="1"/>
      <color theme="1"/>
      <sz val="13.5"/>
      <scheme val="minor"/>
    </font>
    <font>
      <name val="Calibri"/>
      <family val="2"/>
      <b val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rial"/>
      <sz val="10"/>
    </font>
    <font>
      <name val="Arial"/>
      <family val="2"/>
      <b val="1"/>
      <color indexed="48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0"/>
      <sz val="10"/>
    </font>
    <font>
      <name val="Arial"/>
      <family val="2"/>
      <sz val="10"/>
    </font>
    <font>
      <name val="Arial"/>
      <family val="2"/>
      <sz val="6"/>
    </font>
    <font>
      <name val="Arial"/>
      <family val="2"/>
      <b val="1"/>
      <sz val="8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b val="1"/>
      <color indexed="48"/>
      <sz val="8"/>
    </font>
    <font>
      <name val="Arial"/>
      <family val="2"/>
      <b val="1"/>
      <sz val="12"/>
    </font>
  </fonts>
  <fills count="21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/>
    <xf numFmtId="43" fontId="1" fillId="0" borderId="0"/>
    <xf numFmtId="172" fontId="1" fillId="0" borderId="0"/>
    <xf numFmtId="0" fontId="29" fillId="0" borderId="0"/>
    <xf numFmtId="0" fontId="39" fillId="0" borderId="0"/>
    <xf numFmtId="171" fontId="39" fillId="0" borderId="0"/>
  </cellStyleXfs>
  <cellXfs count="307">
    <xf numFmtId="0" fontId="0" fillId="0" borderId="0" pivotButton="0" quotePrefix="0" xfId="0"/>
    <xf numFmtId="0" fontId="7" fillId="3" borderId="0" pivotButton="0" quotePrefix="0" xfId="0"/>
    <xf numFmtId="164" fontId="8" fillId="0" borderId="0" pivotButton="0" quotePrefix="0" xfId="1"/>
    <xf numFmtId="0" fontId="7" fillId="2" borderId="1" applyAlignment="1" pivotButton="0" quotePrefix="0" xfId="0">
      <alignment horizontal="center"/>
    </xf>
    <xf numFmtId="0" fontId="7" fillId="3" borderId="4" pivotButton="0" quotePrefix="0" xfId="0"/>
    <xf numFmtId="0" fontId="7" fillId="3" borderId="5" pivotButton="0" quotePrefix="0" xfId="0"/>
    <xf numFmtId="0" fontId="7" fillId="3" borderId="6" pivotButton="0" quotePrefix="0" xfId="0"/>
    <xf numFmtId="3" fontId="7" fillId="3" borderId="5" pivotButton="0" quotePrefix="0" xfId="0"/>
    <xf numFmtId="0" fontId="6" fillId="3" borderId="10" applyAlignment="1" pivotButton="0" quotePrefix="0" xfId="0">
      <alignment wrapText="1"/>
    </xf>
    <xf numFmtId="0" fontId="6" fillId="3" borderId="10" applyAlignment="1" pivotButton="0" quotePrefix="0" xfId="0">
      <alignment horizontal="left" wrapText="1"/>
    </xf>
    <xf numFmtId="165" fontId="17" fillId="0" borderId="1" pivotButton="0" quotePrefix="0" xfId="0"/>
    <xf numFmtId="0" fontId="18" fillId="0" borderId="2" pivotButton="0" quotePrefix="0" xfId="0"/>
    <xf numFmtId="0" fontId="17" fillId="0" borderId="3" pivotButton="0" quotePrefix="0" xfId="0"/>
    <xf numFmtId="0" fontId="17" fillId="0" borderId="4" pivotButton="0" quotePrefix="0" xfId="0"/>
    <xf numFmtId="0" fontId="17" fillId="0" borderId="5" pivotButton="0" quotePrefix="0" xfId="0"/>
    <xf numFmtId="0" fontId="17" fillId="0" borderId="6" pivotButton="0" quotePrefix="0" xfId="0"/>
    <xf numFmtId="0" fontId="19" fillId="0" borderId="5" pivotButton="0" quotePrefix="0" xfId="0"/>
    <xf numFmtId="0" fontId="17" fillId="0" borderId="16" pivotButton="0" quotePrefix="0" xfId="0"/>
    <xf numFmtId="0" fontId="17" fillId="0" borderId="14" pivotButton="0" quotePrefix="0" xfId="0"/>
    <xf numFmtId="0" fontId="17" fillId="0" borderId="9" pivotButton="0" quotePrefix="0" xfId="0"/>
    <xf numFmtId="0" fontId="7" fillId="3" borderId="17" pivotButton="0" quotePrefix="0" xfId="0"/>
    <xf numFmtId="0" fontId="11" fillId="0" borderId="10" applyAlignment="1" pivotButton="0" quotePrefix="0" xfId="0">
      <alignment vertical="center"/>
    </xf>
    <xf numFmtId="0" fontId="7" fillId="3" borderId="14" pivotButton="0" quotePrefix="0" xfId="0"/>
    <xf numFmtId="0" fontId="7" fillId="3" borderId="9" pivotButton="0" quotePrefix="0" xfId="0"/>
    <xf numFmtId="0" fontId="7" fillId="3" borderId="15" pivotButton="0" quotePrefix="0" xfId="0"/>
    <xf numFmtId="9" fontId="17" fillId="0" borderId="4" pivotButton="0" quotePrefix="0" xfId="0"/>
    <xf numFmtId="0" fontId="6" fillId="5" borderId="11" pivotButton="0" quotePrefix="0" xfId="0"/>
    <xf numFmtId="0" fontId="6" fillId="5" borderId="12" pivotButton="0" quotePrefix="0" xfId="0"/>
    <xf numFmtId="0" fontId="6" fillId="5" borderId="13" pivotButton="0" quotePrefix="0" xfId="0"/>
    <xf numFmtId="0" fontId="7" fillId="7" borderId="18" applyAlignment="1" pivotButton="0" quotePrefix="0" xfId="0">
      <alignment horizontal="center"/>
    </xf>
    <xf numFmtId="0" fontId="7" fillId="7" borderId="19" applyAlignment="1" pivotButton="0" quotePrefix="0" xfId="0">
      <alignment horizontal="center"/>
    </xf>
    <xf numFmtId="0" fontId="20" fillId="7" borderId="19" applyAlignment="1" pivotButton="0" quotePrefix="0" xfId="0">
      <alignment horizontal="center"/>
    </xf>
    <xf numFmtId="0" fontId="7" fillId="7" borderId="20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/>
    </xf>
    <xf numFmtId="166" fontId="7" fillId="7" borderId="5" applyAlignment="1" pivotButton="0" quotePrefix="0" xfId="1">
      <alignment horizontal="center"/>
    </xf>
    <xf numFmtId="164" fontId="7" fillId="7" borderId="5" applyAlignment="1" pivotButton="0" quotePrefix="0" xfId="1">
      <alignment horizontal="center"/>
    </xf>
    <xf numFmtId="0" fontId="0" fillId="0" borderId="5" applyAlignment="1" pivotButton="0" quotePrefix="0" xfId="0">
      <alignment horizontal="center"/>
    </xf>
    <xf numFmtId="167" fontId="0" fillId="0" borderId="5" applyAlignment="1" pivotButton="0" quotePrefix="0" xfId="2">
      <alignment horizontal="center"/>
    </xf>
    <xf numFmtId="1" fontId="0" fillId="0" borderId="5" applyAlignment="1" pivotButton="0" quotePrefix="0" xfId="0">
      <alignment horizontal="center"/>
    </xf>
    <xf numFmtId="0" fontId="19" fillId="0" borderId="21" pivotButton="0" quotePrefix="0" xfId="0"/>
    <xf numFmtId="0" fontId="21" fillId="6" borderId="11" applyAlignment="1" pivotButton="0" quotePrefix="0" xfId="0">
      <alignment wrapText="1"/>
    </xf>
    <xf numFmtId="0" fontId="7" fillId="9" borderId="11" applyAlignment="1" pivotButton="0" quotePrefix="0" xfId="0">
      <alignment wrapText="1"/>
    </xf>
    <xf numFmtId="0" fontId="7" fillId="9" borderId="11" applyAlignment="1" pivotButton="0" quotePrefix="0" xfId="0">
      <alignment horizontal="center" wrapText="1"/>
    </xf>
    <xf numFmtId="0" fontId="7" fillId="9" borderId="22" applyAlignment="1" pivotButton="0" quotePrefix="0" xfId="0">
      <alignment horizontal="center" wrapText="1"/>
    </xf>
    <xf numFmtId="0" fontId="6" fillId="10" borderId="10" applyAlignment="1" pivotButton="0" quotePrefix="0" xfId="0">
      <alignment wrapText="1"/>
    </xf>
    <xf numFmtId="165" fontId="7" fillId="10" borderId="10" applyAlignment="1" pivotButton="0" quotePrefix="0" xfId="0">
      <alignment wrapText="1"/>
    </xf>
    <xf numFmtId="0" fontId="6" fillId="12" borderId="10" applyAlignment="1" pivotButton="0" quotePrefix="0" xfId="0">
      <alignment wrapText="1"/>
    </xf>
    <xf numFmtId="165" fontId="7" fillId="12" borderId="10" applyAlignment="1" pivotButton="0" quotePrefix="0" xfId="0">
      <alignment wrapText="1"/>
    </xf>
    <xf numFmtId="165" fontId="20" fillId="12" borderId="23" applyAlignment="1" pivotButton="0" quotePrefix="0" xfId="0">
      <alignment horizontal="right" wrapText="1"/>
    </xf>
    <xf numFmtId="165" fontId="7" fillId="3" borderId="10" applyAlignment="1" pivotButton="0" quotePrefix="0" xfId="0">
      <alignment wrapText="1"/>
    </xf>
    <xf numFmtId="0" fontId="6" fillId="5" borderId="18" applyAlignment="1" pivotButton="0" quotePrefix="0" xfId="0">
      <alignment wrapText="1"/>
    </xf>
    <xf numFmtId="165" fontId="6" fillId="5" borderId="18" applyAlignment="1" pivotButton="0" quotePrefix="0" xfId="0">
      <alignment wrapText="1"/>
    </xf>
    <xf numFmtId="165" fontId="6" fillId="5" borderId="24" applyAlignment="1" pivotButton="0" quotePrefix="0" xfId="0">
      <alignment horizontal="right" wrapText="1"/>
    </xf>
    <xf numFmtId="0" fontId="22" fillId="13" borderId="11" applyAlignment="1" pivotButton="0" quotePrefix="0" xfId="0">
      <alignment wrapText="1"/>
    </xf>
    <xf numFmtId="165" fontId="22" fillId="13" borderId="11" applyAlignment="1" pivotButton="0" quotePrefix="0" xfId="0">
      <alignment wrapText="1"/>
    </xf>
    <xf numFmtId="165" fontId="22" fillId="13" borderId="22" applyAlignment="1" pivotButton="0" quotePrefix="0" xfId="0">
      <alignment horizontal="right" wrapText="1"/>
    </xf>
    <xf numFmtId="0" fontId="6" fillId="5" borderId="14" applyAlignment="1" pivotButton="0" quotePrefix="0" xfId="0">
      <alignment wrapText="1"/>
    </xf>
    <xf numFmtId="165" fontId="6" fillId="5" borderId="14" applyAlignment="1" pivotButton="0" quotePrefix="0" xfId="0">
      <alignment wrapText="1"/>
    </xf>
    <xf numFmtId="165" fontId="6" fillId="5" borderId="25" applyAlignment="1" pivotButton="0" quotePrefix="0" xfId="0">
      <alignment horizontal="right" wrapText="1"/>
    </xf>
    <xf numFmtId="165" fontId="7" fillId="10" borderId="23" applyAlignment="1" pivotButton="0" quotePrefix="0" xfId="0">
      <alignment horizontal="right" wrapText="1"/>
    </xf>
    <xf numFmtId="165" fontId="7" fillId="3" borderId="10" applyAlignment="1" pivotButton="0" quotePrefix="0" xfId="1">
      <alignment wrapText="1"/>
    </xf>
    <xf numFmtId="165" fontId="7" fillId="3" borderId="23" applyAlignment="1" pivotButton="0" quotePrefix="0" xfId="0">
      <alignment horizontal="right" wrapText="1"/>
    </xf>
    <xf numFmtId="0" fontId="23" fillId="3" borderId="10" applyAlignment="1" pivotButton="0" quotePrefix="0" xfId="0">
      <alignment wrapText="1"/>
    </xf>
    <xf numFmtId="165" fontId="20" fillId="3" borderId="10" applyAlignment="1" pivotButton="0" quotePrefix="0" xfId="1">
      <alignment wrapText="1"/>
    </xf>
    <xf numFmtId="165" fontId="20" fillId="3" borderId="10" applyAlignment="1" pivotButton="0" quotePrefix="0" xfId="0">
      <alignment horizontal="right" wrapText="1"/>
    </xf>
    <xf numFmtId="165" fontId="7" fillId="3" borderId="10" applyAlignment="1" pivotButton="0" quotePrefix="0" xfId="0">
      <alignment horizontal="right" wrapText="1"/>
    </xf>
    <xf numFmtId="0" fontId="7" fillId="3" borderId="0" applyAlignment="1" pivotButton="0" quotePrefix="0" xfId="0">
      <alignment wrapText="1"/>
    </xf>
    <xf numFmtId="165" fontId="7" fillId="3" borderId="0" applyAlignment="1" pivotButton="0" quotePrefix="0" xfId="0">
      <alignment horizontal="right" wrapText="1"/>
    </xf>
    <xf numFmtId="0" fontId="7" fillId="6" borderId="11" applyAlignment="1" pivotButton="0" quotePrefix="0" xfId="0">
      <alignment wrapText="1"/>
    </xf>
    <xf numFmtId="165" fontId="20" fillId="6" borderId="12" applyAlignment="1" pivotButton="0" quotePrefix="0" xfId="0">
      <alignment horizontal="right" wrapText="1"/>
    </xf>
    <xf numFmtId="165" fontId="7" fillId="6" borderId="12" applyAlignment="1" pivotButton="0" quotePrefix="0" xfId="0">
      <alignment wrapText="1"/>
    </xf>
    <xf numFmtId="0" fontId="4" fillId="14" borderId="11" pivotButton="0" quotePrefix="0" xfId="0"/>
    <xf numFmtId="0" fontId="7" fillId="15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5" fillId="14" borderId="1" applyAlignment="1" pivotButton="0" quotePrefix="0" xfId="0">
      <alignment vertical="center" wrapText="1"/>
    </xf>
    <xf numFmtId="0" fontId="0" fillId="14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6" pivotButton="0" quotePrefix="0" xfId="0"/>
    <xf numFmtId="49" fontId="0" fillId="11" borderId="11" pivotButton="0" quotePrefix="0" xfId="0"/>
    <xf numFmtId="167" fontId="0" fillId="11" borderId="13" pivotButton="0" quotePrefix="0" xfId="2"/>
    <xf numFmtId="0" fontId="7" fillId="15" borderId="4" applyAlignment="1" pivotButton="0" quotePrefix="0" xfId="0">
      <alignment horizontal="center"/>
    </xf>
    <xf numFmtId="0" fontId="7" fillId="15" borderId="6" applyAlignment="1" pivotButton="0" quotePrefix="0" xfId="0">
      <alignment horizontal="center"/>
    </xf>
    <xf numFmtId="0" fontId="7" fillId="3" borderId="4" applyAlignment="1" pivotButton="0" quotePrefix="0" xfId="0">
      <alignment wrapText="1"/>
    </xf>
    <xf numFmtId="0" fontId="7" fillId="3" borderId="4" applyAlignment="1" pivotButton="0" quotePrefix="0" xfId="0">
      <alignment horizontal="left" wrapText="1"/>
    </xf>
    <xf numFmtId="0" fontId="7" fillId="15" borderId="7" pivotButton="0" quotePrefix="0" xfId="0"/>
    <xf numFmtId="3" fontId="7" fillId="15" borderId="8" pivotButton="0" quotePrefix="0" xfId="0"/>
    <xf numFmtId="167" fontId="6" fillId="15" borderId="28" pivotButton="0" quotePrefix="0" xfId="2"/>
    <xf numFmtId="167" fontId="4" fillId="14" borderId="13" applyAlignment="1" pivotButton="0" quotePrefix="0" xfId="2">
      <alignment horizontal="center"/>
    </xf>
    <xf numFmtId="0" fontId="7" fillId="9" borderId="5" applyAlignment="1" pivotButton="0" quotePrefix="0" xfId="0">
      <alignment horizontal="center" wrapText="1"/>
    </xf>
    <xf numFmtId="0" fontId="7" fillId="9" borderId="4" applyAlignment="1" pivotButton="0" quotePrefix="0" xfId="0">
      <alignment wrapText="1"/>
    </xf>
    <xf numFmtId="0" fontId="0" fillId="19" borderId="10" pivotButton="0" quotePrefix="0" xfId="0"/>
    <xf numFmtId="0" fontId="0" fillId="19" borderId="9" pivotButton="0" quotePrefix="0" xfId="0"/>
    <xf numFmtId="0" fontId="0" fillId="0" borderId="1" pivotButton="0" quotePrefix="0" xfId="0"/>
    <xf numFmtId="168" fontId="0" fillId="0" borderId="3" pivotButton="0" quotePrefix="0" xfId="0"/>
    <xf numFmtId="10" fontId="0" fillId="0" borderId="6" pivotButton="0" quotePrefix="0" xfId="0"/>
    <xf numFmtId="9" fontId="0" fillId="0" borderId="6" pivotButton="0" quotePrefix="0" xfId="0"/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167" fontId="7" fillId="3" borderId="5" pivotButton="0" quotePrefix="0" xfId="2"/>
    <xf numFmtId="0" fontId="6" fillId="4" borderId="7" pivotButton="0" quotePrefix="0" xfId="0"/>
    <xf numFmtId="167" fontId="6" fillId="4" borderId="8" pivotButton="0" quotePrefix="0" xfId="2"/>
    <xf numFmtId="0" fontId="4" fillId="0" borderId="0" pivotButton="0" quotePrefix="0" xfId="0"/>
    <xf numFmtId="0" fontId="7" fillId="17" borderId="7" pivotButton="0" quotePrefix="0" xfId="0"/>
    <xf numFmtId="167" fontId="7" fillId="17" borderId="8" pivotButton="0" quotePrefix="0" xfId="2"/>
    <xf numFmtId="167" fontId="7" fillId="17" borderId="28" pivotButton="0" quotePrefix="0" xfId="2"/>
    <xf numFmtId="0" fontId="7" fillId="17" borderId="1" applyAlignment="1" pivotButton="0" quotePrefix="0" xfId="0">
      <alignment horizontal="center"/>
    </xf>
    <xf numFmtId="0" fontId="7" fillId="17" borderId="2" applyAlignment="1" pivotButton="0" quotePrefix="0" xfId="0">
      <alignment horizontal="center"/>
    </xf>
    <xf numFmtId="0" fontId="7" fillId="17" borderId="3" applyAlignment="1" pivotButton="0" quotePrefix="0" xfId="0">
      <alignment horizontal="center"/>
    </xf>
    <xf numFmtId="0" fontId="28" fillId="3" borderId="4" applyAlignment="1" pivotButton="0" quotePrefix="0" xfId="0">
      <alignment wrapText="1"/>
    </xf>
    <xf numFmtId="3" fontId="0" fillId="0" borderId="5" pivotButton="0" quotePrefix="0" xfId="0"/>
    <xf numFmtId="0" fontId="29" fillId="0" borderId="0" pivotButton="0" quotePrefix="0" xfId="3"/>
    <xf numFmtId="165" fontId="0" fillId="0" borderId="0" pivotButton="0" quotePrefix="0" xfId="0"/>
    <xf numFmtId="164" fontId="7" fillId="20" borderId="5" applyAlignment="1" pivotButton="0" quotePrefix="0" xfId="1">
      <alignment horizontal="center"/>
    </xf>
    <xf numFmtId="169" fontId="7" fillId="20" borderId="5" applyAlignment="1" pivotButton="0" quotePrefix="0" xfId="1">
      <alignment horizontal="center"/>
    </xf>
    <xf numFmtId="0" fontId="31" fillId="0" borderId="0" pivotButton="0" quotePrefix="0" xfId="0"/>
    <xf numFmtId="9" fontId="3" fillId="6" borderId="5" pivotButton="0" quotePrefix="0" xfId="0"/>
    <xf numFmtId="0" fontId="32" fillId="0" borderId="5" applyAlignment="1" pivotButton="0" quotePrefix="0" xfId="0">
      <alignment horizontal="center"/>
    </xf>
    <xf numFmtId="167" fontId="0" fillId="0" borderId="0" pivotButton="0" quotePrefix="0" xfId="0"/>
    <xf numFmtId="9" fontId="0" fillId="6" borderId="5" applyAlignment="1" pivotButton="0" quotePrefix="0" xfId="0">
      <alignment horizontal="center"/>
    </xf>
    <xf numFmtId="169" fontId="6" fillId="6" borderId="5" applyAlignment="1" pivotButton="0" quotePrefix="0" xfId="1">
      <alignment horizontal="center"/>
    </xf>
    <xf numFmtId="164" fontId="0" fillId="0" borderId="0" pivotButton="0" quotePrefix="0" xfId="0"/>
    <xf numFmtId="170" fontId="7" fillId="7" borderId="5" applyAlignment="1" pivotButton="0" quotePrefix="0" xfId="1">
      <alignment horizontal="center"/>
    </xf>
    <xf numFmtId="0" fontId="33" fillId="0" borderId="0" pivotButton="0" quotePrefix="0" xfId="0"/>
    <xf numFmtId="0" fontId="34" fillId="0" borderId="0" pivotButton="0" quotePrefix="0" xfId="0"/>
    <xf numFmtId="3" fontId="0" fillId="0" borderId="0" pivotButton="0" quotePrefix="0" xfId="0"/>
    <xf numFmtId="167" fontId="0" fillId="6" borderId="6" pivotButton="0" quotePrefix="0" xfId="2"/>
    <xf numFmtId="3" fontId="0" fillId="6" borderId="5" pivotButton="0" quotePrefix="0" xfId="0"/>
    <xf numFmtId="3" fontId="0" fillId="0" borderId="0" applyAlignment="1" pivotButton="0" quotePrefix="0" xfId="0">
      <alignment horizontal="center"/>
    </xf>
    <xf numFmtId="3" fontId="4" fillId="6" borderId="0" pivotButton="0" quotePrefix="0" xfId="0"/>
    <xf numFmtId="9" fontId="0" fillId="0" borderId="0" pivotButton="0" quotePrefix="0" xfId="0"/>
    <xf numFmtId="0" fontId="6" fillId="19" borderId="10" applyAlignment="1" pivotButton="0" quotePrefix="0" xfId="0">
      <alignment wrapText="1"/>
    </xf>
    <xf numFmtId="0" fontId="7" fillId="19" borderId="10" applyAlignment="1" pivotButton="0" quotePrefix="0" xfId="0">
      <alignment wrapText="1"/>
    </xf>
    <xf numFmtId="3" fontId="7" fillId="19" borderId="23" applyAlignment="1" pivotButton="0" quotePrefix="0" xfId="0">
      <alignment horizontal="right" wrapText="1"/>
    </xf>
    <xf numFmtId="165" fontId="7" fillId="19" borderId="10" applyAlignment="1" pivotButton="0" quotePrefix="0" xfId="0">
      <alignment wrapText="1"/>
    </xf>
    <xf numFmtId="165" fontId="20" fillId="19" borderId="23" applyAlignment="1" pivotButton="0" quotePrefix="0" xfId="0">
      <alignment horizontal="right" wrapText="1"/>
    </xf>
    <xf numFmtId="0" fontId="7" fillId="5" borderId="11" applyAlignment="1" pivotButton="0" quotePrefix="0" xfId="0">
      <alignment wrapText="1"/>
    </xf>
    <xf numFmtId="165" fontId="20" fillId="5" borderId="11" applyAlignment="1" pivotButton="0" quotePrefix="0" xfId="0">
      <alignment horizontal="right" wrapText="1"/>
    </xf>
    <xf numFmtId="165" fontId="24" fillId="5" borderId="22" applyAlignment="1" pivotButton="0" quotePrefix="0" xfId="0">
      <alignment horizontal="right" wrapText="1"/>
    </xf>
    <xf numFmtId="165" fontId="3" fillId="6" borderId="0" pivotButton="0" quotePrefix="0" xfId="0"/>
    <xf numFmtId="0" fontId="26" fillId="19" borderId="9" pivotButton="0" quotePrefix="0" xfId="0"/>
    <xf numFmtId="0" fontId="7" fillId="9" borderId="6" applyAlignment="1" pivotButton="0" quotePrefix="0" xfId="0">
      <alignment horizontal="center" wrapText="1"/>
    </xf>
    <xf numFmtId="0" fontId="0" fillId="19" borderId="0" pivotButton="0" quotePrefix="0" xfId="0"/>
    <xf numFmtId="0" fontId="0" fillId="19" borderId="14" pivotButton="0" quotePrefix="0" xfId="0"/>
    <xf numFmtId="0" fontId="35" fillId="0" borderId="0" applyAlignment="1" pivotButton="0" quotePrefix="0" xfId="0">
      <alignment vertical="center"/>
    </xf>
    <xf numFmtId="165" fontId="30" fillId="0" borderId="0" pivotButton="0" quotePrefix="0" xfId="0"/>
    <xf numFmtId="165" fontId="6" fillId="5" borderId="5" applyAlignment="1" pivotButton="0" quotePrefix="0" xfId="0">
      <alignment horizontal="right" wrapText="1"/>
    </xf>
    <xf numFmtId="165" fontId="6" fillId="5" borderId="6" applyAlignment="1" pivotButton="0" quotePrefix="0" xfId="0">
      <alignment horizontal="right" wrapText="1"/>
    </xf>
    <xf numFmtId="165" fontId="36" fillId="5" borderId="5" pivotButton="0" quotePrefix="0" xfId="0"/>
    <xf numFmtId="0" fontId="36" fillId="19" borderId="0" pivotButton="0" quotePrefix="0" xfId="0"/>
    <xf numFmtId="0" fontId="36" fillId="19" borderId="17" pivotButton="0" quotePrefix="0" xfId="0"/>
    <xf numFmtId="0" fontId="36" fillId="19" borderId="9" pivotButton="0" quotePrefix="0" xfId="0"/>
    <xf numFmtId="0" fontId="7" fillId="3" borderId="6" applyAlignment="1" pivotButton="0" quotePrefix="0" xfId="0">
      <alignment horizontal="center"/>
    </xf>
    <xf numFmtId="0" fontId="39" fillId="0" borderId="0" pivotButton="0" quotePrefix="0" xfId="4"/>
    <xf numFmtId="0" fontId="40" fillId="0" borderId="0" pivotButton="0" quotePrefix="0" xfId="4"/>
    <xf numFmtId="0" fontId="21" fillId="0" borderId="0" pivotButton="0" quotePrefix="0" xfId="4"/>
    <xf numFmtId="0" fontId="41" fillId="0" borderId="0" pivotButton="0" quotePrefix="0" xfId="4"/>
    <xf numFmtId="0" fontId="42" fillId="0" borderId="0" pivotButton="0" quotePrefix="0" xfId="4"/>
    <xf numFmtId="0" fontId="21" fillId="0" borderId="5" pivotButton="0" quotePrefix="0" xfId="4"/>
    <xf numFmtId="0" fontId="39" fillId="0" borderId="32" pivotButton="0" quotePrefix="0" xfId="4"/>
    <xf numFmtId="0" fontId="21" fillId="0" borderId="33" pivotButton="0" quotePrefix="0" xfId="4"/>
    <xf numFmtId="0" fontId="43" fillId="0" borderId="5" pivotButton="0" quotePrefix="0" xfId="4"/>
    <xf numFmtId="0" fontId="39" fillId="0" borderId="34" pivotButton="0" quotePrefix="0" xfId="4"/>
    <xf numFmtId="0" fontId="44" fillId="0" borderId="35" applyAlignment="1" pivotButton="0" quotePrefix="0" xfId="4">
      <alignment horizontal="center"/>
    </xf>
    <xf numFmtId="0" fontId="39" fillId="0" borderId="36" applyAlignment="1" pivotButton="0" quotePrefix="0" xfId="4">
      <alignment horizontal="center"/>
    </xf>
    <xf numFmtId="0" fontId="44" fillId="0" borderId="23" applyAlignment="1" pivotButton="0" quotePrefix="0" xfId="4">
      <alignment horizontal="center"/>
    </xf>
    <xf numFmtId="0" fontId="39" fillId="0" borderId="37" applyAlignment="1" pivotButton="0" quotePrefix="0" xfId="4">
      <alignment horizontal="center"/>
    </xf>
    <xf numFmtId="0" fontId="44" fillId="0" borderId="21" applyAlignment="1" pivotButton="0" quotePrefix="0" xfId="4">
      <alignment horizontal="center"/>
    </xf>
    <xf numFmtId="0" fontId="39" fillId="0" borderId="38" pivotButton="0" quotePrefix="0" xfId="4"/>
    <xf numFmtId="0" fontId="45" fillId="0" borderId="0" pivotButton="0" quotePrefix="0" xfId="4"/>
    <xf numFmtId="0" fontId="46" fillId="0" borderId="0" pivotButton="0" quotePrefix="0" xfId="4"/>
    <xf numFmtId="0" fontId="43" fillId="0" borderId="32" pivotButton="0" quotePrefix="0" xfId="4"/>
    <xf numFmtId="0" fontId="47" fillId="0" borderId="5" pivotButton="0" quotePrefix="0" xfId="4"/>
    <xf numFmtId="0" fontId="47" fillId="0" borderId="35" applyAlignment="1" pivotButton="0" quotePrefix="0" xfId="4">
      <alignment horizontal="center"/>
    </xf>
    <xf numFmtId="0" fontId="39" fillId="0" borderId="35" pivotButton="0" quotePrefix="0" xfId="4"/>
    <xf numFmtId="0" fontId="47" fillId="0" borderId="23" applyAlignment="1" pivotButton="0" quotePrefix="0" xfId="4">
      <alignment horizontal="center"/>
    </xf>
    <xf numFmtId="0" fontId="47" fillId="0" borderId="23" pivotButton="0" quotePrefix="0" xfId="4"/>
    <xf numFmtId="0" fontId="47" fillId="0" borderId="21" applyAlignment="1" pivotButton="0" quotePrefix="0" xfId="4">
      <alignment horizontal="center"/>
    </xf>
    <xf numFmtId="0" fontId="43" fillId="0" borderId="39" pivotButton="0" quotePrefix="0" xfId="4"/>
    <xf numFmtId="0" fontId="43" fillId="0" borderId="38" applyAlignment="1" pivotButton="0" quotePrefix="0" xfId="4">
      <alignment horizontal="right"/>
    </xf>
    <xf numFmtId="0" fontId="43" fillId="0" borderId="21" pivotButton="0" quotePrefix="0" xfId="4"/>
    <xf numFmtId="0" fontId="47" fillId="0" borderId="0" pivotButton="0" quotePrefix="0" xfId="4"/>
    <xf numFmtId="0" fontId="43" fillId="0" borderId="34" pivotButton="0" quotePrefix="0" xfId="4"/>
    <xf numFmtId="0" fontId="39" fillId="0" borderId="35" applyAlignment="1" pivotButton="0" quotePrefix="0" xfId="4">
      <alignment horizontal="center"/>
    </xf>
    <xf numFmtId="0" fontId="39" fillId="0" borderId="23" applyAlignment="1" pivotButton="0" quotePrefix="0" xfId="4">
      <alignment horizontal="center"/>
    </xf>
    <xf numFmtId="0" fontId="43" fillId="0" borderId="23" applyAlignment="1" pivotButton="0" quotePrefix="0" xfId="4">
      <alignment horizontal="center"/>
    </xf>
    <xf numFmtId="0" fontId="39" fillId="0" borderId="21" applyAlignment="1" pivotButton="0" quotePrefix="0" xfId="4">
      <alignment horizontal="center"/>
    </xf>
    <xf numFmtId="0" fontId="43" fillId="0" borderId="0" pivotButton="0" quotePrefix="0" xfId="4"/>
    <xf numFmtId="0" fontId="48" fillId="0" borderId="0" pivotButton="0" quotePrefix="0" xfId="4"/>
    <xf numFmtId="9" fontId="39" fillId="0" borderId="0" pivotButton="0" quotePrefix="0" xfId="4"/>
    <xf numFmtId="10" fontId="42" fillId="0" borderId="0" applyAlignment="1" pivotButton="0" quotePrefix="0" xfId="4">
      <alignment horizontal="center"/>
    </xf>
    <xf numFmtId="171" fontId="21" fillId="0" borderId="5" applyAlignment="1" pivotButton="0" quotePrefix="0" xfId="5">
      <alignment horizontal="center"/>
    </xf>
    <xf numFmtId="171" fontId="47" fillId="0" borderId="5" applyAlignment="1" pivotButton="0" quotePrefix="0" xfId="5">
      <alignment horizontal="center"/>
    </xf>
    <xf numFmtId="0" fontId="21" fillId="0" borderId="23" applyAlignment="1" pivotButton="0" quotePrefix="0" xfId="4">
      <alignment horizontal="center"/>
    </xf>
    <xf numFmtId="0" fontId="39" fillId="0" borderId="21" pivotButton="0" quotePrefix="0" xfId="4"/>
    <xf numFmtId="0" fontId="49" fillId="0" borderId="0" pivotButton="0" quotePrefix="0" xfId="4"/>
    <xf numFmtId="0" fontId="0" fillId="0" borderId="5" pivotButton="0" quotePrefix="0" xfId="0"/>
    <xf numFmtId="9" fontId="0" fillId="0" borderId="5" pivotButton="0" quotePrefix="0" xfId="0"/>
    <xf numFmtId="0" fontId="5" fillId="16" borderId="0" applyAlignment="1" pivotButton="0" quotePrefix="0" xfId="0">
      <alignment horizontal="center"/>
    </xf>
    <xf numFmtId="0" fontId="6" fillId="17" borderId="11" applyAlignment="1" pivotButton="0" quotePrefix="0" xfId="0">
      <alignment horizontal="center"/>
    </xf>
    <xf numFmtId="0" fontId="6" fillId="17" borderId="12" applyAlignment="1" pivotButton="0" quotePrefix="0" xfId="0">
      <alignment horizontal="center"/>
    </xf>
    <xf numFmtId="0" fontId="6" fillId="17" borderId="13" applyAlignment="1" pivotButton="0" quotePrefix="0" xfId="0">
      <alignment horizontal="center"/>
    </xf>
    <xf numFmtId="9" fontId="7" fillId="3" borderId="5" pivotButton="0" quotePrefix="0" xfId="0"/>
    <xf numFmtId="0" fontId="7" fillId="19" borderId="4" applyAlignment="1" pivotButton="0" quotePrefix="0" xfId="0">
      <alignment wrapText="1"/>
    </xf>
    <xf numFmtId="168" fontId="0" fillId="6" borderId="0" pivotButton="0" quotePrefix="0" xfId="0"/>
    <xf numFmtId="0" fontId="5" fillId="16" borderId="0" applyAlignment="1" pivotButton="0" quotePrefix="0" xfId="0">
      <alignment horizontal="center"/>
    </xf>
    <xf numFmtId="0" fontId="7" fillId="2" borderId="29" applyAlignment="1" pivotButton="0" quotePrefix="0" xfId="0">
      <alignment horizontal="center"/>
    </xf>
    <xf numFmtId="0" fontId="7" fillId="2" borderId="30" applyAlignment="1" pivotButton="0" quotePrefix="0" xfId="0">
      <alignment horizontal="center"/>
    </xf>
    <xf numFmtId="0" fontId="7" fillId="2" borderId="31" applyAlignment="1" pivotButton="0" quotePrefix="0" xfId="0">
      <alignment horizontal="center"/>
    </xf>
    <xf numFmtId="0" fontId="6" fillId="15" borderId="1" applyAlignment="1" pivotButton="0" quotePrefix="0" xfId="0">
      <alignment horizontal="center"/>
    </xf>
    <xf numFmtId="0" fontId="6" fillId="15" borderId="2" applyAlignment="1" pivotButton="0" quotePrefix="0" xfId="0">
      <alignment horizontal="center"/>
    </xf>
    <xf numFmtId="0" fontId="6" fillId="15" borderId="3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6" fillId="5" borderId="11" applyAlignment="1" pivotButton="0" quotePrefix="0" xfId="0">
      <alignment horizontal="center" wrapText="1"/>
    </xf>
    <xf numFmtId="0" fontId="6" fillId="5" borderId="12" applyAlignment="1" pivotButton="0" quotePrefix="0" xfId="0">
      <alignment horizontal="center" wrapText="1"/>
    </xf>
    <xf numFmtId="0" fontId="6" fillId="5" borderId="13" applyAlignment="1" pivotButton="0" quotePrefix="0" xfId="0">
      <alignment horizont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8" borderId="17" applyAlignment="1" pivotButton="0" quotePrefix="0" xfId="0">
      <alignment horizontal="left" vertical="center" wrapText="1"/>
    </xf>
    <xf numFmtId="0" fontId="7" fillId="8" borderId="14" applyAlignment="1" pivotButton="0" quotePrefix="0" xfId="0">
      <alignment horizontal="left" vertical="center" wrapText="1"/>
    </xf>
    <xf numFmtId="0" fontId="7" fillId="8" borderId="9" applyAlignment="1" pivotButton="0" quotePrefix="0" xfId="0">
      <alignment horizontal="left" vertical="center" wrapText="1"/>
    </xf>
    <xf numFmtId="0" fontId="7" fillId="8" borderId="15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center"/>
    </xf>
    <xf numFmtId="0" fontId="4" fillId="18" borderId="18" applyAlignment="1" pivotButton="0" quotePrefix="0" xfId="0">
      <alignment horizontal="center"/>
    </xf>
    <xf numFmtId="0" fontId="4" fillId="18" borderId="19" applyAlignment="1" pivotButton="0" quotePrefix="0" xfId="0">
      <alignment horizontal="center"/>
    </xf>
    <xf numFmtId="0" fontId="4" fillId="18" borderId="20" applyAlignment="1" pivotButton="0" quotePrefix="0" xfId="0">
      <alignment horizontal="center"/>
    </xf>
    <xf numFmtId="0" fontId="27" fillId="6" borderId="11" applyAlignment="1" pivotButton="0" quotePrefix="0" xfId="0">
      <alignment horizontal="center" wrapText="1"/>
    </xf>
    <xf numFmtId="0" fontId="27" fillId="6" borderId="13" applyAlignment="1" pivotButton="0" quotePrefix="0" xfId="0">
      <alignment horizontal="center" wrapText="1"/>
    </xf>
    <xf numFmtId="168" fontId="0" fillId="6" borderId="5" pivotButton="0" quotePrefix="0" xfId="0"/>
    <xf numFmtId="171" fontId="47" fillId="0" borderId="5" applyAlignment="1" pivotButton="0" quotePrefix="0" xfId="5">
      <alignment horizontal="center"/>
    </xf>
    <xf numFmtId="171" fontId="21" fillId="0" borderId="5" applyAlignment="1" pivotButton="0" quotePrefix="0" xfId="5">
      <alignment horizontal="center"/>
    </xf>
    <xf numFmtId="164" fontId="8" fillId="0" borderId="0" pivotButton="0" quotePrefix="0" xfId="1"/>
    <xf numFmtId="0" fontId="7" fillId="2" borderId="3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7" fontId="7" fillId="3" borderId="5" pivotButton="0" quotePrefix="0" xfId="2"/>
    <xf numFmtId="167" fontId="6" fillId="4" borderId="8" pivotButton="0" quotePrefix="0" xfId="2"/>
    <xf numFmtId="167" fontId="0" fillId="0" borderId="0" pivotButton="0" quotePrefix="0" xfId="0"/>
    <xf numFmtId="167" fontId="7" fillId="17" borderId="8" pivotButton="0" quotePrefix="0" xfId="2"/>
    <xf numFmtId="167" fontId="7" fillId="17" borderId="28" pivotButton="0" quotePrefix="0" xfId="2"/>
    <xf numFmtId="0" fontId="0" fillId="0" borderId="41" pivotButton="0" quotePrefix="0" xfId="0"/>
    <xf numFmtId="167" fontId="0" fillId="6" borderId="6" pivotButton="0" quotePrefix="0" xfId="2"/>
    <xf numFmtId="167" fontId="6" fillId="15" borderId="28" pivotButton="0" quotePrefix="0" xfId="2"/>
    <xf numFmtId="167" fontId="0" fillId="11" borderId="13" pivotButton="0" quotePrefix="0" xfId="2"/>
    <xf numFmtId="0" fontId="0" fillId="0" borderId="42" applyAlignment="1" pivotButton="0" quotePrefix="0" xfId="0">
      <alignment horizontal="center"/>
    </xf>
    <xf numFmtId="0" fontId="0" fillId="0" borderId="27" pivotButton="0" quotePrefix="0" xfId="0"/>
    <xf numFmtId="167" fontId="4" fillId="14" borderId="13" applyAlignment="1" pivotButton="0" quotePrefix="0" xfId="2">
      <alignment horizontal="center"/>
    </xf>
    <xf numFmtId="167" fontId="0" fillId="0" borderId="5" applyAlignment="1" pivotButton="0" quotePrefix="0" xfId="2">
      <alignment horizontal="center"/>
    </xf>
    <xf numFmtId="168" fontId="0" fillId="6" borderId="0" pivotButton="0" quotePrefix="0" xfId="0"/>
    <xf numFmtId="0" fontId="6" fillId="5" borderId="45" applyAlignment="1" pivotButton="0" quotePrefix="0" xfId="0">
      <alignment horizontal="center" wrapText="1"/>
    </xf>
    <xf numFmtId="0" fontId="0" fillId="0" borderId="12" pivotButton="0" quotePrefix="0" xfId="0"/>
    <xf numFmtId="0" fontId="0" fillId="0" borderId="13" pivotButton="0" quotePrefix="0" xfId="0"/>
    <xf numFmtId="0" fontId="11" fillId="0" borderId="4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5" pivotButton="0" quotePrefix="0" xfId="0"/>
    <xf numFmtId="165" fontId="17" fillId="0" borderId="1" pivotButton="0" quotePrefix="0" xfId="0"/>
    <xf numFmtId="169" fontId="6" fillId="6" borderId="5" applyAlignment="1" pivotButton="0" quotePrefix="0" xfId="1">
      <alignment horizontal="center"/>
    </xf>
    <xf numFmtId="166" fontId="7" fillId="7" borderId="5" applyAlignment="1" pivotButton="0" quotePrefix="0" xfId="1">
      <alignment horizontal="center"/>
    </xf>
    <xf numFmtId="164" fontId="7" fillId="7" borderId="5" applyAlignment="1" pivotButton="0" quotePrefix="0" xfId="1">
      <alignment horizontal="center"/>
    </xf>
    <xf numFmtId="169" fontId="7" fillId="20" borderId="5" applyAlignment="1" pivotButton="0" quotePrefix="0" xfId="1">
      <alignment horizontal="center"/>
    </xf>
    <xf numFmtId="164" fontId="7" fillId="20" borderId="5" applyAlignment="1" pivotButton="0" quotePrefix="0" xfId="1">
      <alignment horizontal="center"/>
    </xf>
    <xf numFmtId="170" fontId="7" fillId="7" borderId="5" applyAlignment="1" pivotButton="0" quotePrefix="0" xfId="1">
      <alignment horizontal="center"/>
    </xf>
    <xf numFmtId="0" fontId="7" fillId="8" borderId="4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0" pivotButton="0" quotePrefix="0" xfId="0"/>
    <xf numFmtId="0" fontId="0" fillId="0" borderId="14" pivotButton="0" quotePrefix="0" xfId="0"/>
    <xf numFmtId="164" fontId="0" fillId="0" borderId="0" pivotButton="0" quotePrefix="0" xfId="0"/>
    <xf numFmtId="0" fontId="4" fillId="18" borderId="47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165" fontId="6" fillId="5" borderId="5" applyAlignment="1" pivotButton="0" quotePrefix="0" xfId="0">
      <alignment horizontal="right" wrapText="1"/>
    </xf>
    <xf numFmtId="165" fontId="6" fillId="5" borderId="6" applyAlignment="1" pivotButton="0" quotePrefix="0" xfId="0">
      <alignment horizontal="right" wrapText="1"/>
    </xf>
    <xf numFmtId="165" fontId="7" fillId="19" borderId="10" applyAlignment="1" pivotButton="0" quotePrefix="0" xfId="0">
      <alignment wrapText="1"/>
    </xf>
    <xf numFmtId="165" fontId="20" fillId="19" borderId="23" applyAlignment="1" pivotButton="0" quotePrefix="0" xfId="0">
      <alignment horizontal="right" wrapText="1"/>
    </xf>
    <xf numFmtId="165" fontId="36" fillId="5" borderId="5" pivotButton="0" quotePrefix="0" xfId="0"/>
    <xf numFmtId="165" fontId="6" fillId="5" borderId="18" applyAlignment="1" pivotButton="0" quotePrefix="0" xfId="0">
      <alignment wrapText="1"/>
    </xf>
    <xf numFmtId="165" fontId="6" fillId="5" borderId="24" applyAlignment="1" pivotButton="0" quotePrefix="0" xfId="0">
      <alignment horizontal="right" wrapText="1"/>
    </xf>
    <xf numFmtId="165" fontId="22" fillId="13" borderId="11" applyAlignment="1" pivotButton="0" quotePrefix="0" xfId="0">
      <alignment wrapText="1"/>
    </xf>
    <xf numFmtId="165" fontId="22" fillId="13" borderId="22" applyAlignment="1" pivotButton="0" quotePrefix="0" xfId="0">
      <alignment horizontal="right" wrapText="1"/>
    </xf>
    <xf numFmtId="165" fontId="6" fillId="5" borderId="14" applyAlignment="1" pivotButton="0" quotePrefix="0" xfId="0">
      <alignment wrapText="1"/>
    </xf>
    <xf numFmtId="165" fontId="6" fillId="5" borderId="25" applyAlignment="1" pivotButton="0" quotePrefix="0" xfId="0">
      <alignment horizontal="right" wrapText="1"/>
    </xf>
    <xf numFmtId="165" fontId="7" fillId="10" borderId="10" applyAlignment="1" pivotButton="0" quotePrefix="0" xfId="0">
      <alignment wrapText="1"/>
    </xf>
    <xf numFmtId="165" fontId="7" fillId="10" borderId="23" applyAlignment="1" pivotButton="0" quotePrefix="0" xfId="0">
      <alignment horizontal="right" wrapText="1"/>
    </xf>
    <xf numFmtId="0" fontId="27" fillId="6" borderId="45" applyAlignment="1" pivotButton="0" quotePrefix="0" xfId="0">
      <alignment horizontal="center" wrapText="1"/>
    </xf>
    <xf numFmtId="165" fontId="30" fillId="0" borderId="0" pivotButton="0" quotePrefix="0" xfId="0"/>
    <xf numFmtId="165" fontId="7" fillId="12" borderId="10" applyAlignment="1" pivotButton="0" quotePrefix="0" xfId="0">
      <alignment wrapText="1"/>
    </xf>
    <xf numFmtId="165" fontId="20" fillId="12" borderId="23" applyAlignment="1" pivotButton="0" quotePrefix="0" xfId="0">
      <alignment horizontal="right" wrapText="1"/>
    </xf>
    <xf numFmtId="168" fontId="0" fillId="0" borderId="3" pivotButton="0" quotePrefix="0" xfId="0"/>
    <xf numFmtId="165" fontId="0" fillId="0" borderId="0" pivotButton="0" quotePrefix="0" xfId="0"/>
    <xf numFmtId="165" fontId="7" fillId="3" borderId="10" applyAlignment="1" pivotButton="0" quotePrefix="0" xfId="1">
      <alignment wrapText="1"/>
    </xf>
    <xf numFmtId="165" fontId="7" fillId="3" borderId="23" applyAlignment="1" pivotButton="0" quotePrefix="0" xfId="0">
      <alignment horizontal="right" wrapText="1"/>
    </xf>
    <xf numFmtId="165" fontId="7" fillId="3" borderId="10" applyAlignment="1" pivotButton="0" quotePrefix="0" xfId="0">
      <alignment wrapText="1"/>
    </xf>
    <xf numFmtId="165" fontId="20" fillId="3" borderId="10" applyAlignment="1" pivotButton="0" quotePrefix="0" xfId="1">
      <alignment wrapText="1"/>
    </xf>
    <xf numFmtId="165" fontId="20" fillId="3" borderId="10" applyAlignment="1" pivotButton="0" quotePrefix="0" xfId="0">
      <alignment horizontal="right" wrapText="1"/>
    </xf>
    <xf numFmtId="165" fontId="7" fillId="3" borderId="10" applyAlignment="1" pivotButton="0" quotePrefix="0" xfId="0">
      <alignment horizontal="right" wrapText="1"/>
    </xf>
    <xf numFmtId="165" fontId="20" fillId="5" borderId="11" applyAlignment="1" pivotButton="0" quotePrefix="0" xfId="0">
      <alignment horizontal="right" wrapText="1"/>
    </xf>
    <xf numFmtId="165" fontId="24" fillId="5" borderId="22" applyAlignment="1" pivotButton="0" quotePrefix="0" xfId="0">
      <alignment horizontal="right" wrapText="1"/>
    </xf>
    <xf numFmtId="168" fontId="0" fillId="6" borderId="5" pivotButton="0" quotePrefix="0" xfId="0"/>
    <xf numFmtId="165" fontId="7" fillId="3" borderId="0" applyAlignment="1" pivotButton="0" quotePrefix="0" xfId="0">
      <alignment horizontal="right" wrapText="1"/>
    </xf>
    <xf numFmtId="165" fontId="20" fillId="6" borderId="12" applyAlignment="1" pivotButton="0" quotePrefix="0" xfId="0">
      <alignment horizontal="right" wrapText="1"/>
    </xf>
    <xf numFmtId="165" fontId="7" fillId="6" borderId="12" applyAlignment="1" pivotButton="0" quotePrefix="0" xfId="0">
      <alignment wrapText="1"/>
    </xf>
    <xf numFmtId="165" fontId="3" fillId="6" borderId="0" pivotButton="0" quotePrefix="0" xfId="0"/>
  </cellXfs>
  <cellStyles count="6">
    <cellStyle name="Normal" xfId="0" builtinId="0"/>
    <cellStyle name="Millares" xfId="1" builtinId="3"/>
    <cellStyle name="Moneda" xfId="2" builtinId="4"/>
    <cellStyle name="Hipervínculo" xfId="3" builtinId="8"/>
    <cellStyle name="Normal 2" xfId="4"/>
    <cellStyle name="Millares [0]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Oscar</author>
  </authors>
  <commentList>
    <comment ref="B8" authorId="0" shapeId="0">
      <text>
        <t xml:space="preserve">Oscar:
Revisar celdas mas abajo para verificar como se resuelve la operación partre por parte
</t>
      </text>
    </comment>
  </commentList>
</comments>
</file>

<file path=xl/comments/comment2.xml><?xml version="1.0" encoding="utf-8"?>
<comments xmlns="http://schemas.openxmlformats.org/spreadsheetml/2006/main">
  <authors>
    <author>Oscar</author>
  </authors>
  <commentList>
    <comment ref="B11" authorId="0" shapeId="0">
      <text>
        <t>Oscar:
tasa de impuesto a las utilidades es de 24%</t>
      </text>
    </comment>
    <comment ref="B25" authorId="0" shapeId="0">
      <text>
        <t xml:space="preserve">Oscar:
PARA CALCULAR EL VAN, DEBO CONSIDERAR LA FORMULA DESTACADA EN AMARILLO Y TAMBIÉN CONSIDERAR LA TASA DE DESCUENTO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hyperlink" Target="http://simuladorcreditos.cl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zoomScaleNormal="100" workbookViewId="0">
      <selection activeCell="D11" sqref="D11"/>
    </sheetView>
  </sheetViews>
  <sheetFormatPr baseColWidth="8" defaultColWidth="11.5703125" defaultRowHeight="12.75"/>
  <cols>
    <col width="38" customWidth="1" style="154" min="1" max="1"/>
    <col width="12.140625" customWidth="1" style="154" min="2" max="2"/>
    <col width="10.140625" customWidth="1" style="154" min="3" max="3"/>
    <col width="12.140625" bestFit="1" customWidth="1" style="154" min="4" max="4"/>
    <col width="9.140625" customWidth="1" style="154" min="5" max="5"/>
    <col width="12.140625" customWidth="1" style="154" min="6" max="6"/>
    <col width="8.42578125" bestFit="1" customWidth="1" style="154" min="7" max="7"/>
    <col width="11.5703125" customWidth="1" style="154" min="8" max="16384"/>
  </cols>
  <sheetData>
    <row r="1" customFormat="1" s="170">
      <c r="A1" s="156" t="inlineStr">
        <is>
          <t>REMUNERACIONES, HONORARIOS E INCENTIVOS</t>
        </is>
      </c>
    </row>
    <row r="2" customFormat="1" s="170">
      <c r="A2" s="156" t="n"/>
    </row>
    <row r="3">
      <c r="A3" s="169" t="n"/>
      <c r="B3" s="168" t="inlineStr">
        <is>
          <t>HONORARIOS</t>
        </is>
      </c>
      <c r="C3" s="168" t="inlineStr">
        <is>
          <t>INCENTIVOS</t>
        </is>
      </c>
      <c r="D3" s="168" t="inlineStr">
        <is>
          <t>REMUNERACIONES</t>
        </is>
      </c>
      <c r="E3" s="168" t="inlineStr">
        <is>
          <t xml:space="preserve"> </t>
        </is>
      </c>
      <c r="F3" s="168" t="inlineStr">
        <is>
          <t>DEDICACION</t>
        </is>
      </c>
      <c r="G3" s="168" t="inlineStr">
        <is>
          <t>MESES A</t>
        </is>
      </c>
      <c r="H3" s="168" t="inlineStr">
        <is>
          <t>TOTAL</t>
        </is>
      </c>
    </row>
    <row r="4">
      <c r="A4" s="167" t="inlineStr">
        <is>
          <t>ITEM</t>
        </is>
      </c>
      <c r="B4" s="166" t="inlineStr">
        <is>
          <t>J. COMPLETA</t>
        </is>
      </c>
      <c r="C4" s="166" t="inlineStr">
        <is>
          <t>J. COMPLETA</t>
        </is>
      </c>
      <c r="D4" s="166" t="inlineStr">
        <is>
          <t>J. COMPLETA</t>
        </is>
      </c>
      <c r="E4" s="166" t="inlineStr">
        <is>
          <t>SUBTOTAL</t>
        </is>
      </c>
      <c r="F4" s="166" t="inlineStr">
        <is>
          <t>AL PROYECTO</t>
        </is>
      </c>
      <c r="G4" s="166" t="inlineStr">
        <is>
          <t>CONTRATAR</t>
        </is>
      </c>
      <c r="H4" s="166" t="inlineStr">
        <is>
          <t>PROYECTO</t>
        </is>
      </c>
    </row>
    <row r="5">
      <c r="A5" s="165" t="n"/>
      <c r="B5" s="164" t="inlineStr">
        <is>
          <t>M$/MES</t>
        </is>
      </c>
      <c r="C5" s="164" t="inlineStr">
        <is>
          <t>M$/MES</t>
        </is>
      </c>
      <c r="D5" s="164" t="inlineStr">
        <is>
          <t>M$/MES</t>
        </is>
      </c>
      <c r="E5" s="164" t="inlineStr">
        <is>
          <t>M$/MES</t>
        </is>
      </c>
      <c r="F5" s="164" t="inlineStr">
        <is>
          <t>% DE JORNADA</t>
        </is>
      </c>
      <c r="G5" s="164" t="inlineStr">
        <is>
          <t>Nº</t>
        </is>
      </c>
      <c r="H5" s="164" t="inlineStr">
        <is>
          <t>M$</t>
        </is>
      </c>
    </row>
    <row r="6">
      <c r="A6" s="161" t="inlineStr">
        <is>
          <t>Profesionales</t>
        </is>
      </c>
      <c r="H6" s="163" t="n"/>
    </row>
    <row r="7" ht="15" customHeight="1">
      <c r="A7" s="197" t="inlineStr">
        <is>
          <t>Jefe de Proyecto / Scrum Master / Líder QA</t>
        </is>
      </c>
      <c r="B7" s="197" t="n"/>
      <c r="C7" s="197" t="n"/>
      <c r="D7" s="111" t="n">
        <v>2500000</v>
      </c>
      <c r="E7" s="111" t="n">
        <v>2500000</v>
      </c>
      <c r="F7" s="198" t="n">
        <v>0.8</v>
      </c>
      <c r="G7" s="197" t="n">
        <v>4</v>
      </c>
      <c r="H7" s="111" t="n">
        <v>8000000</v>
      </c>
    </row>
    <row r="8" ht="15" customHeight="1">
      <c r="A8" s="197" t="inlineStr">
        <is>
          <t>PO / Líder Gestión y Calidad</t>
        </is>
      </c>
      <c r="B8" s="197" t="n"/>
      <c r="C8" s="197" t="n"/>
      <c r="D8" s="111" t="n">
        <v>2200000</v>
      </c>
      <c r="E8" s="111" t="n">
        <v>2200000</v>
      </c>
      <c r="F8" s="198" t="n">
        <v>0.8</v>
      </c>
      <c r="G8" s="197" t="n">
        <v>4</v>
      </c>
      <c r="H8" s="111" t="n">
        <v>7040000</v>
      </c>
    </row>
    <row r="9" ht="15" customHeight="1">
      <c r="A9" s="197" t="inlineStr">
        <is>
          <t>Desarrollador Fullstack</t>
        </is>
      </c>
      <c r="B9" s="197" t="n"/>
      <c r="C9" s="197" t="n"/>
      <c r="D9" s="111" t="n">
        <v>2200000</v>
      </c>
      <c r="E9" s="111" t="n">
        <v>2200000</v>
      </c>
      <c r="F9" s="198" t="n">
        <v>1</v>
      </c>
      <c r="G9" s="197" t="n">
        <v>4</v>
      </c>
      <c r="H9" s="111" t="n">
        <v>8800000</v>
      </c>
    </row>
    <row r="10" ht="15" customHeight="1">
      <c r="A10" s="197" t="inlineStr">
        <is>
          <t>Líder Técnico</t>
        </is>
      </c>
      <c r="B10" s="197" t="n"/>
      <c r="C10" s="197" t="n"/>
      <c r="D10" s="111" t="n">
        <v>2200000</v>
      </c>
      <c r="E10" s="111" t="n">
        <v>2200000</v>
      </c>
      <c r="F10" s="198" t="n">
        <v>1</v>
      </c>
      <c r="G10" s="197" t="n">
        <v>4</v>
      </c>
      <c r="H10" s="111" t="n">
        <v>8800000</v>
      </c>
    </row>
    <row r="11" ht="15" customHeight="1">
      <c r="A11" s="197" t="inlineStr">
        <is>
          <t>Soporte continuo</t>
        </is>
      </c>
      <c r="B11" s="197" t="n"/>
      <c r="C11" s="197" t="n"/>
      <c r="D11" s="197" t="n">
        <v>1000000</v>
      </c>
      <c r="E11" t="n">
        <v>1000000</v>
      </c>
      <c r="F11" s="198" t="n">
        <v>1</v>
      </c>
      <c r="G11" s="197" t="n">
        <v>12</v>
      </c>
      <c r="H11" s="197" t="n">
        <v>0</v>
      </c>
    </row>
    <row r="12">
      <c r="A12" s="161" t="inlineStr">
        <is>
          <t>SUBTOTAL</t>
        </is>
      </c>
      <c r="B12" s="160" t="n"/>
      <c r="C12" s="160" t="n"/>
      <c r="D12" s="160" t="n"/>
      <c r="E12" s="160" t="n"/>
      <c r="F12" s="160" t="n"/>
      <c r="G12" s="160" t="n"/>
      <c r="H12" s="159">
        <f>SUM(H6:H11)</f>
        <v/>
      </c>
    </row>
    <row r="13">
      <c r="A13" s="158" t="n"/>
    </row>
    <row r="14">
      <c r="A14" s="157" t="n"/>
    </row>
    <row r="15">
      <c r="A15" s="157" t="n"/>
    </row>
    <row r="16">
      <c r="A16" s="157" t="n"/>
    </row>
    <row r="17">
      <c r="A17" s="157" t="n"/>
    </row>
    <row r="18">
      <c r="A18" s="157" t="n"/>
    </row>
    <row r="19">
      <c r="A19" s="156" t="n"/>
    </row>
    <row r="20">
      <c r="A20" s="155" t="inlineStr">
        <is>
          <t xml:space="preserve"> </t>
        </is>
      </c>
    </row>
    <row r="21">
      <c r="A21" s="155" t="inlineStr">
        <is>
          <t xml:space="preserve"> 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zoomScale="115" zoomScaleNormal="115" workbookViewId="0">
      <selection activeCell="E22" sqref="E22"/>
    </sheetView>
  </sheetViews>
  <sheetFormatPr baseColWidth="8" defaultColWidth="11.5703125" defaultRowHeight="12.75"/>
  <cols>
    <col width="26.140625" customWidth="1" style="154" min="1" max="1"/>
    <col width="57.7109375" bestFit="1" customWidth="1" style="154" min="2" max="2"/>
    <col width="16.85546875" bestFit="1" customWidth="1" style="154" min="3" max="3"/>
    <col width="20.140625" customWidth="1" style="154" min="4" max="4"/>
    <col width="9" customWidth="1" style="154" min="5" max="5"/>
    <col width="8" customWidth="1" style="154" min="6" max="6"/>
    <col width="11.5703125" customWidth="1" style="154" min="7" max="16384"/>
  </cols>
  <sheetData>
    <row r="1">
      <c r="A1" s="156" t="inlineStr">
        <is>
          <t>EQUIPOS</t>
        </is>
      </c>
    </row>
    <row r="2"/>
    <row r="3" customFormat="1" s="182">
      <c r="A3" s="181" t="inlineStr">
        <is>
          <t xml:space="preserve"> </t>
        </is>
      </c>
      <c r="B3" s="178" t="inlineStr">
        <is>
          <t xml:space="preserve"> </t>
        </is>
      </c>
      <c r="C3" s="180" t="inlineStr">
        <is>
          <t>COSTO</t>
        </is>
      </c>
      <c r="D3" s="179" t="inlineStr">
        <is>
          <t>UNITARIO</t>
        </is>
      </c>
      <c r="E3" s="178" t="inlineStr">
        <is>
          <t>CANTIDAD</t>
        </is>
      </c>
      <c r="F3" s="178" t="inlineStr">
        <is>
          <t>COSTO</t>
        </is>
      </c>
    </row>
    <row r="4">
      <c r="A4" s="177" t="inlineStr">
        <is>
          <t>NOMBRE DEL EQUIPO</t>
        </is>
      </c>
      <c r="B4" s="176" t="inlineStr">
        <is>
          <t>DESCRIPCIÓN</t>
        </is>
      </c>
      <c r="C4" s="168" t="inlineStr">
        <is>
          <t>CASO ADQUISICIONES</t>
        </is>
      </c>
      <c r="D4" s="168" t="inlineStr">
        <is>
          <t>CASO ARRIENDO O USO</t>
        </is>
      </c>
      <c r="E4" s="176" t="inlineStr">
        <is>
          <t>UNIDADES</t>
        </is>
      </c>
      <c r="F4" s="176" t="inlineStr">
        <is>
          <t>TOTAL</t>
        </is>
      </c>
    </row>
    <row r="5">
      <c r="A5" s="175" t="n"/>
      <c r="B5" s="175" t="n"/>
      <c r="C5" s="164" t="inlineStr">
        <is>
          <t>M$/UNIDAD</t>
        </is>
      </c>
      <c r="D5" s="164" t="inlineStr">
        <is>
          <t>UNIDADES EXISTENTES (M$/MES)</t>
        </is>
      </c>
      <c r="E5" s="174" t="inlineStr">
        <is>
          <t>O MESES</t>
        </is>
      </c>
      <c r="F5" s="174" t="inlineStr">
        <is>
          <t>M$</t>
        </is>
      </c>
    </row>
    <row r="6">
      <c r="A6" s="173" t="inlineStr">
        <is>
          <t>nn</t>
        </is>
      </c>
      <c r="B6" s="173" t="inlineStr">
        <is>
          <t>nn</t>
        </is>
      </c>
      <c r="C6" s="173" t="n">
        <v>0</v>
      </c>
      <c r="D6" s="173" t="n">
        <v>0</v>
      </c>
      <c r="E6" s="173" t="n">
        <v>0</v>
      </c>
      <c r="F6" s="173">
        <f>(+C6+D6)*E6</f>
        <v/>
      </c>
    </row>
    <row r="7">
      <c r="A7" s="173" t="n"/>
      <c r="B7" s="173" t="n"/>
      <c r="C7" s="173" t="n"/>
      <c r="D7" s="173" t="n"/>
      <c r="E7" s="173" t="n"/>
      <c r="F7" s="173">
        <f>(+C7+D7)*E7</f>
        <v/>
      </c>
    </row>
    <row r="8">
      <c r="A8" s="173" t="n"/>
      <c r="B8" s="173" t="n"/>
      <c r="C8" s="173" t="n"/>
      <c r="D8" s="173" t="n"/>
      <c r="E8" s="173" t="n"/>
      <c r="F8" s="173">
        <f>(+C8+D8)*E8</f>
        <v/>
      </c>
    </row>
    <row r="9">
      <c r="A9" s="173" t="n"/>
      <c r="B9" s="173" t="n"/>
      <c r="C9" s="173" t="n"/>
      <c r="D9" s="173" t="n"/>
      <c r="E9" s="173" t="n"/>
      <c r="F9" s="173">
        <f>(+C9+D9)*E9</f>
        <v/>
      </c>
    </row>
    <row r="10">
      <c r="A10" s="173" t="n"/>
      <c r="B10" s="173" t="n"/>
      <c r="C10" s="173" t="n"/>
      <c r="D10" s="173" t="n"/>
      <c r="E10" s="173" t="n"/>
      <c r="F10" s="173">
        <f>(+C10+D10)*E10</f>
        <v/>
      </c>
    </row>
    <row r="11">
      <c r="A11" s="173" t="n"/>
      <c r="B11" s="173" t="n"/>
      <c r="C11" s="173" t="n"/>
      <c r="D11" s="173" t="n"/>
      <c r="E11" s="173" t="n"/>
      <c r="F11" s="173">
        <f>(+C11+D11)*E11</f>
        <v/>
      </c>
    </row>
    <row r="12">
      <c r="A12" s="173" t="n"/>
      <c r="B12" s="173" t="n"/>
      <c r="C12" s="173" t="n"/>
      <c r="D12" s="173" t="n"/>
      <c r="E12" s="173" t="n"/>
      <c r="F12" s="173">
        <f>(+C12+D12)*E12</f>
        <v/>
      </c>
    </row>
    <row r="13">
      <c r="A13" s="161" t="inlineStr">
        <is>
          <t>SUBTOTAL</t>
        </is>
      </c>
      <c r="B13" s="172" t="n"/>
      <c r="C13" s="172" t="n"/>
      <c r="D13" s="172" t="n"/>
      <c r="E13" s="172" t="n"/>
      <c r="F13" s="159">
        <f>SUM(F6:F12)</f>
        <v/>
      </c>
    </row>
    <row r="14">
      <c r="B14" s="182" t="n"/>
      <c r="C14" s="182" t="n"/>
      <c r="D14" s="182" t="n"/>
      <c r="E14" s="182" t="n"/>
      <c r="F14" s="170" t="n"/>
    </row>
    <row r="15">
      <c r="A15" s="155" t="n"/>
    </row>
    <row r="16">
      <c r="A16" s="155" t="n"/>
    </row>
    <row r="17">
      <c r="A17" s="156" t="inlineStr">
        <is>
          <t>INFRAESTRUCTURA</t>
        </is>
      </c>
    </row>
    <row r="18"/>
    <row r="19">
      <c r="A19" s="181" t="inlineStr">
        <is>
          <t xml:space="preserve"> </t>
        </is>
      </c>
      <c r="B19" s="178" t="inlineStr">
        <is>
          <t xml:space="preserve"> </t>
        </is>
      </c>
      <c r="C19" s="180" t="inlineStr">
        <is>
          <t>COSTO</t>
        </is>
      </c>
      <c r="D19" s="179" t="inlineStr">
        <is>
          <t>UNITARIO</t>
        </is>
      </c>
      <c r="E19" s="178" t="inlineStr">
        <is>
          <t>CANTIDAD</t>
        </is>
      </c>
      <c r="F19" s="178" t="inlineStr">
        <is>
          <t>COSTO</t>
        </is>
      </c>
    </row>
    <row r="20">
      <c r="A20" s="177" t="inlineStr">
        <is>
          <t>NOMBRE DE LA INFRAESTRUCTURA</t>
        </is>
      </c>
      <c r="B20" s="176" t="inlineStr">
        <is>
          <t>DESCRIPCIÓN</t>
        </is>
      </c>
      <c r="C20" s="168" t="inlineStr">
        <is>
          <t>CASO ADQUISICIONES</t>
        </is>
      </c>
      <c r="D20" s="168" t="inlineStr">
        <is>
          <t>CASO ARRIENDO O USO</t>
        </is>
      </c>
      <c r="E20" s="176" t="inlineStr">
        <is>
          <t>UNIDADES</t>
        </is>
      </c>
      <c r="F20" s="176" t="inlineStr">
        <is>
          <t>TOTAL</t>
        </is>
      </c>
    </row>
    <row r="21">
      <c r="A21" s="175" t="n"/>
      <c r="B21" s="175" t="n"/>
      <c r="C21" s="164" t="inlineStr">
        <is>
          <t>O HABILITACIÓNM$/UNIDAD</t>
        </is>
      </c>
      <c r="D21" s="164" t="inlineStr">
        <is>
          <t>UNIDADES EXISTENTES (M$/MES)</t>
        </is>
      </c>
      <c r="E21" s="174" t="inlineStr">
        <is>
          <t>O MESES</t>
        </is>
      </c>
      <c r="F21" s="174" t="inlineStr">
        <is>
          <t>M$</t>
        </is>
      </c>
    </row>
    <row r="22">
      <c r="A22" s="162" t="inlineStr">
        <is>
          <t>Dominio y SSL</t>
        </is>
      </c>
      <c r="B22" s="162" t="inlineStr">
        <is>
          <t>Asegura el acceso web y protege la información con cifrado.</t>
        </is>
      </c>
      <c r="C22" s="173" t="n"/>
      <c r="D22" s="173" t="n">
        <v>20000</v>
      </c>
      <c r="E22" s="173" t="n">
        <v>12</v>
      </c>
      <c r="F22" s="173">
        <f>(+C22+D22)*E22</f>
        <v/>
      </c>
    </row>
    <row r="23">
      <c r="A23" s="173" t="n"/>
      <c r="B23" s="173" t="n"/>
      <c r="C23" s="173" t="n"/>
      <c r="D23" s="173" t="n"/>
      <c r="E23" s="173" t="n"/>
      <c r="F23" s="173">
        <f>(+C23+D23)*E23</f>
        <v/>
      </c>
    </row>
    <row r="24">
      <c r="A24" s="173" t="n"/>
      <c r="B24" s="173" t="n"/>
      <c r="C24" s="173" t="n"/>
      <c r="D24" s="173" t="n"/>
      <c r="E24" s="173" t="n"/>
      <c r="F24" s="173">
        <f>(+C24+D24)*E24</f>
        <v/>
      </c>
    </row>
    <row r="25">
      <c r="A25" s="173" t="n"/>
      <c r="B25" s="173" t="n"/>
      <c r="C25" s="173" t="n"/>
      <c r="D25" s="173" t="n"/>
      <c r="E25" s="173" t="n"/>
      <c r="F25" s="173">
        <f>(+C25+D25)*E25</f>
        <v/>
      </c>
    </row>
    <row r="26">
      <c r="A26" s="173" t="n"/>
      <c r="B26" s="173" t="n"/>
      <c r="C26" s="173" t="n"/>
      <c r="D26" s="173" t="n"/>
      <c r="E26" s="173" t="n"/>
      <c r="F26" s="173">
        <f>(+C26+D26)*E26</f>
        <v/>
      </c>
    </row>
    <row r="27">
      <c r="A27" s="173" t="n"/>
      <c r="B27" s="173" t="n"/>
      <c r="C27" s="173" t="n"/>
      <c r="D27" s="173" t="n"/>
      <c r="E27" s="173" t="n"/>
      <c r="F27" s="173">
        <f>(+C27+D27)*E27</f>
        <v/>
      </c>
    </row>
    <row r="28">
      <c r="A28" s="173" t="n"/>
      <c r="B28" s="173" t="n"/>
      <c r="C28" s="173" t="n"/>
      <c r="D28" s="173" t="n"/>
      <c r="E28" s="173" t="n"/>
      <c r="F28" s="173">
        <f>(+C28+D28)*E28</f>
        <v/>
      </c>
    </row>
    <row r="29">
      <c r="A29" s="173" t="n"/>
      <c r="B29" s="173" t="n"/>
      <c r="C29" s="173" t="n"/>
      <c r="D29" s="173" t="n"/>
      <c r="E29" s="173" t="n"/>
      <c r="F29" s="173">
        <f>(+C29+D29)*E29</f>
        <v/>
      </c>
    </row>
    <row r="30">
      <c r="A30" s="161" t="inlineStr">
        <is>
          <t>SUBTOTAL</t>
        </is>
      </c>
      <c r="B30" s="172" t="n"/>
      <c r="C30" s="172" t="n"/>
      <c r="D30" s="172" t="n"/>
      <c r="E30" s="172" t="n"/>
      <c r="F30" s="159">
        <f>SUM(F22:F29)</f>
        <v/>
      </c>
    </row>
    <row r="31"/>
    <row r="32"/>
    <row r="33"/>
    <row r="34"/>
    <row r="35"/>
    <row r="36" ht="15.75" customHeight="1">
      <c r="A36" s="171" t="n"/>
    </row>
    <row r="37">
      <c r="A37" s="156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zoomScaleNormal="100" workbookViewId="0">
      <selection activeCell="D16" sqref="D16"/>
    </sheetView>
  </sheetViews>
  <sheetFormatPr baseColWidth="8" defaultColWidth="11.5703125" defaultRowHeight="12.75"/>
  <cols>
    <col width="60.42578125" customWidth="1" style="154" min="1" max="1"/>
    <col width="11.5703125" customWidth="1" style="154" min="2" max="16384"/>
  </cols>
  <sheetData>
    <row r="1">
      <c r="A1" s="156" t="inlineStr">
        <is>
          <t>SOFTWARE</t>
        </is>
      </c>
    </row>
    <row r="2"/>
    <row r="3">
      <c r="A3" s="187" t="inlineStr">
        <is>
          <t xml:space="preserve"> </t>
        </is>
      </c>
      <c r="B3" s="187" t="inlineStr">
        <is>
          <t>COSTO</t>
        </is>
      </c>
      <c r="C3" s="187" t="inlineStr">
        <is>
          <t xml:space="preserve"> </t>
        </is>
      </c>
      <c r="D3" s="187" t="inlineStr">
        <is>
          <t>COSTO</t>
        </is>
      </c>
    </row>
    <row r="4">
      <c r="A4" s="186" t="inlineStr">
        <is>
          <t>DESCRIPCIÓN</t>
        </is>
      </c>
      <c r="B4" s="185" t="inlineStr">
        <is>
          <t>UNITARIO</t>
        </is>
      </c>
      <c r="C4" s="185" t="inlineStr">
        <is>
          <t>CANTIDAD</t>
        </is>
      </c>
      <c r="D4" s="185" t="inlineStr">
        <is>
          <t>TOTAL</t>
        </is>
      </c>
    </row>
    <row r="5">
      <c r="A5" s="175" t="n"/>
      <c r="B5" s="184" t="inlineStr">
        <is>
          <t>M$/UNIDAD</t>
        </is>
      </c>
      <c r="C5" s="184" t="n"/>
      <c r="D5" s="184" t="inlineStr">
        <is>
          <t>M$</t>
        </is>
      </c>
    </row>
    <row r="6" ht="15" customHeight="1">
      <c r="A6" s="197" t="inlineStr">
        <is>
          <t>Licencias Open Source (Python, Django, MySQL, Bootstrap, Git)</t>
        </is>
      </c>
      <c r="B6" s="173" t="n">
        <v>0</v>
      </c>
      <c r="C6" s="173" t="n">
        <v>1</v>
      </c>
      <c r="D6" s="173">
        <f>+B6*C6</f>
        <v/>
      </c>
    </row>
    <row r="7" ht="15" customHeight="1">
      <c r="A7" t="inlineStr">
        <is>
          <t>Herramientas colaborativas y gestión ágil (Jira)</t>
        </is>
      </c>
      <c r="B7" s="173" t="n">
        <v>0</v>
      </c>
      <c r="C7" s="173" t="n">
        <v>1</v>
      </c>
      <c r="D7" s="173">
        <f>+B7*C7</f>
        <v/>
      </c>
    </row>
    <row r="8">
      <c r="A8" s="173" t="n"/>
      <c r="B8" s="173" t="n"/>
      <c r="C8" s="173" t="n"/>
      <c r="D8" s="173">
        <f>+B8*C8</f>
        <v/>
      </c>
    </row>
    <row r="9">
      <c r="A9" s="173" t="n"/>
      <c r="B9" s="173" t="n"/>
      <c r="C9" s="173" t="n"/>
      <c r="D9" s="173">
        <f>+B9*C9</f>
        <v/>
      </c>
    </row>
    <row r="10">
      <c r="A10" s="173" t="n"/>
      <c r="B10" s="173" t="n"/>
      <c r="C10" s="173" t="n"/>
      <c r="D10" s="173">
        <f>+B10*C10</f>
        <v/>
      </c>
    </row>
    <row r="11">
      <c r="A11" s="173" t="n"/>
      <c r="B11" s="173" t="n"/>
      <c r="C11" s="173" t="n"/>
      <c r="D11" s="173">
        <f>+B11*C11</f>
        <v/>
      </c>
    </row>
    <row r="12">
      <c r="A12" s="173" t="n"/>
      <c r="B12" s="173" t="n"/>
      <c r="C12" s="173" t="n"/>
      <c r="D12" s="173">
        <f>+B12*C12</f>
        <v/>
      </c>
    </row>
    <row r="13">
      <c r="A13" s="173" t="n"/>
      <c r="B13" s="173" t="n"/>
      <c r="C13" s="173" t="n"/>
      <c r="D13" s="173">
        <f>+B13*C13</f>
        <v/>
      </c>
    </row>
    <row r="14">
      <c r="A14" s="173" t="n"/>
      <c r="B14" s="173" t="n"/>
      <c r="C14" s="173" t="n"/>
      <c r="D14" s="173">
        <f>+B14*C14</f>
        <v/>
      </c>
    </row>
    <row r="15">
      <c r="A15" s="173" t="n"/>
      <c r="B15" s="173" t="n"/>
      <c r="C15" s="173" t="n"/>
      <c r="D15" s="173">
        <f>+B15*C15</f>
        <v/>
      </c>
    </row>
    <row r="16" customFormat="1" s="188">
      <c r="A16" s="161" t="inlineStr">
        <is>
          <t>SUBTOTAL</t>
        </is>
      </c>
      <c r="B16" s="172" t="n"/>
      <c r="C16" s="183" t="n"/>
      <c r="D16" s="159">
        <f>SUM(D6:D15)</f>
        <v/>
      </c>
    </row>
    <row r="17" customFormat="1" s="188">
      <c r="A17" s="156" t="n"/>
      <c r="D17" s="156" t="n"/>
    </row>
    <row r="18" customFormat="1" s="188">
      <c r="A18" s="154" t="n"/>
      <c r="D18" s="156" t="n"/>
    </row>
    <row r="19" customFormat="1" s="188">
      <c r="A19" s="154" t="n"/>
      <c r="D19" s="156" t="n"/>
    </row>
    <row r="20" customFormat="1" s="188">
      <c r="A20" s="189" t="n"/>
      <c r="D20" s="156" t="n"/>
    </row>
    <row r="21"/>
    <row r="22">
      <c r="A22" s="156" t="inlineStr">
        <is>
          <t>FUNGIBLES</t>
        </is>
      </c>
    </row>
    <row r="23"/>
    <row r="24">
      <c r="A24" s="187" t="inlineStr">
        <is>
          <t xml:space="preserve"> </t>
        </is>
      </c>
      <c r="B24" s="187" t="inlineStr">
        <is>
          <t>COSTO</t>
        </is>
      </c>
      <c r="C24" s="187" t="inlineStr">
        <is>
          <t xml:space="preserve"> </t>
        </is>
      </c>
      <c r="D24" s="187" t="inlineStr">
        <is>
          <t>COSTO</t>
        </is>
      </c>
    </row>
    <row r="25">
      <c r="A25" s="186" t="inlineStr">
        <is>
          <t>DESCRIPCIÓN</t>
        </is>
      </c>
      <c r="B25" s="185" t="inlineStr">
        <is>
          <t>UNITARIO</t>
        </is>
      </c>
      <c r="C25" s="185" t="inlineStr">
        <is>
          <t>CANTIDAD</t>
        </is>
      </c>
      <c r="D25" s="185" t="inlineStr">
        <is>
          <t>TOTAL</t>
        </is>
      </c>
    </row>
    <row r="26">
      <c r="A26" s="175" t="n"/>
      <c r="B26" s="184" t="inlineStr">
        <is>
          <t>M$/UNIDAD</t>
        </is>
      </c>
      <c r="C26" s="184" t="n"/>
      <c r="D26" s="184" t="inlineStr">
        <is>
          <t>M$</t>
        </is>
      </c>
    </row>
    <row r="27">
      <c r="A27" s="162" t="inlineStr">
        <is>
          <t>Ticket de prueba</t>
        </is>
      </c>
      <c r="B27" s="173" t="n">
        <v>10000</v>
      </c>
      <c r="C27" s="173" t="n">
        <v>5</v>
      </c>
      <c r="D27" s="173">
        <f>+B27*C27</f>
        <v/>
      </c>
    </row>
    <row r="28">
      <c r="A28" s="162" t="inlineStr">
        <is>
          <t>Papelería</t>
        </is>
      </c>
      <c r="B28" s="173" t="n">
        <v>5000</v>
      </c>
      <c r="C28" s="173" t="n">
        <v>20</v>
      </c>
      <c r="D28" s="173">
        <f>+B28*C28</f>
        <v/>
      </c>
    </row>
    <row r="29">
      <c r="A29" s="162" t="n"/>
      <c r="B29" s="173" t="n"/>
      <c r="C29" s="173" t="n"/>
      <c r="D29" s="173" t="n"/>
    </row>
    <row r="30">
      <c r="A30" s="173" t="n"/>
      <c r="B30" s="173" t="n"/>
      <c r="C30" s="173" t="n"/>
      <c r="D30" s="173">
        <f>+B30*C30</f>
        <v/>
      </c>
    </row>
    <row r="31">
      <c r="A31" s="173" t="n"/>
      <c r="B31" s="173" t="n"/>
      <c r="C31" s="173" t="n"/>
      <c r="D31" s="173">
        <f>+B31*C31</f>
        <v/>
      </c>
    </row>
    <row r="32">
      <c r="A32" s="173" t="n"/>
      <c r="B32" s="173" t="n"/>
      <c r="C32" s="173" t="n"/>
      <c r="D32" s="173">
        <f>+B32*C32</f>
        <v/>
      </c>
    </row>
    <row r="33">
      <c r="A33" s="173" t="n"/>
      <c r="B33" s="173" t="n"/>
      <c r="C33" s="173" t="n"/>
      <c r="D33" s="173">
        <f>+B33*C33</f>
        <v/>
      </c>
    </row>
    <row r="34">
      <c r="A34" s="173" t="n"/>
      <c r="B34" s="173" t="n"/>
      <c r="C34" s="173" t="n"/>
      <c r="D34" s="173">
        <f>+B34*C34</f>
        <v/>
      </c>
    </row>
    <row r="35">
      <c r="A35" s="173" t="n"/>
      <c r="B35" s="173" t="n"/>
      <c r="C35" s="173" t="n"/>
      <c r="D35" s="173">
        <f>+B35*C35</f>
        <v/>
      </c>
    </row>
    <row r="36">
      <c r="A36" s="173" t="n"/>
      <c r="B36" s="173" t="n"/>
      <c r="C36" s="173" t="n"/>
      <c r="D36" s="173">
        <f>+B36*C36</f>
        <v/>
      </c>
    </row>
    <row r="37">
      <c r="A37" s="173" t="n"/>
      <c r="B37" s="173" t="n"/>
      <c r="C37" s="173" t="n"/>
      <c r="D37" s="173">
        <f>+B37*C37</f>
        <v/>
      </c>
    </row>
    <row r="38">
      <c r="A38" s="173" t="n"/>
      <c r="B38" s="173" t="n"/>
      <c r="C38" s="173" t="n"/>
      <c r="D38" s="173">
        <f>+B38*C38</f>
        <v/>
      </c>
    </row>
    <row r="39">
      <c r="A39" s="173" t="n"/>
      <c r="B39" s="173" t="n"/>
      <c r="C39" s="173" t="n"/>
      <c r="D39" s="173">
        <f>+B39*C39</f>
        <v/>
      </c>
    </row>
    <row r="40">
      <c r="A40" s="173" t="n"/>
      <c r="B40" s="173" t="n"/>
      <c r="C40" s="173" t="n"/>
      <c r="D40" s="173">
        <f>+B40*C40</f>
        <v/>
      </c>
    </row>
    <row r="41">
      <c r="A41" s="173" t="n"/>
      <c r="B41" s="173" t="n"/>
      <c r="C41" s="173" t="n"/>
      <c r="D41" s="173">
        <f>+B41*C41</f>
        <v/>
      </c>
    </row>
    <row r="42">
      <c r="A42" s="161" t="inlineStr">
        <is>
          <t>SUBTOTAL</t>
        </is>
      </c>
      <c r="B42" s="172" t="n"/>
      <c r="C42" s="183" t="n"/>
      <c r="D42" s="159">
        <f>SUM(D27:D41)</f>
        <v/>
      </c>
    </row>
    <row r="43"/>
    <row r="44"/>
    <row r="45"/>
    <row r="46">
      <c r="A46" s="156" t="n"/>
    </row>
    <row r="47">
      <c r="A47" s="156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zoomScale="75" workbookViewId="0">
      <selection activeCell="D22" sqref="D22"/>
    </sheetView>
  </sheetViews>
  <sheetFormatPr baseColWidth="8" defaultColWidth="11.5703125" defaultRowHeight="12.75"/>
  <cols>
    <col width="67.42578125" customWidth="1" style="154" min="1" max="1"/>
    <col width="11.5703125" customWidth="1" style="154" min="2" max="16384"/>
  </cols>
  <sheetData>
    <row r="1"/>
    <row r="2">
      <c r="A2" s="156" t="inlineStr">
        <is>
          <t>PROPIEDAD INTELECTUAL</t>
        </is>
      </c>
    </row>
    <row r="3"/>
    <row r="4">
      <c r="A4" s="187" t="inlineStr">
        <is>
          <t xml:space="preserve"> </t>
        </is>
      </c>
      <c r="B4" s="187" t="inlineStr">
        <is>
          <t>COSTO</t>
        </is>
      </c>
      <c r="C4" s="187" t="inlineStr">
        <is>
          <t xml:space="preserve"> </t>
        </is>
      </c>
      <c r="D4" s="187" t="inlineStr">
        <is>
          <t>COSTO</t>
        </is>
      </c>
    </row>
    <row r="5">
      <c r="A5" s="186" t="inlineStr">
        <is>
          <t>DESCRIPCIÓN</t>
        </is>
      </c>
      <c r="B5" s="185" t="inlineStr">
        <is>
          <t>UNITARIO</t>
        </is>
      </c>
      <c r="C5" s="185" t="inlineStr">
        <is>
          <t>CANTIDAD</t>
        </is>
      </c>
      <c r="D5" s="185" t="inlineStr">
        <is>
          <t>TOTAL</t>
        </is>
      </c>
    </row>
    <row r="6">
      <c r="A6" s="175" t="n"/>
      <c r="B6" s="184" t="inlineStr">
        <is>
          <t>M$/UNIDAD</t>
        </is>
      </c>
      <c r="C6" s="184" t="n"/>
      <c r="D6" s="184" t="inlineStr">
        <is>
          <t>M$</t>
        </is>
      </c>
    </row>
    <row r="7">
      <c r="A7" s="188" t="inlineStr">
        <is>
          <t>Reserva de derechos del sistema</t>
        </is>
      </c>
      <c r="B7" s="173" t="n">
        <v>26000</v>
      </c>
      <c r="C7" s="173" t="n">
        <v>1</v>
      </c>
      <c r="D7" s="173">
        <f>+B7*C7</f>
        <v/>
      </c>
    </row>
    <row r="8">
      <c r="A8" s="173" t="n"/>
      <c r="B8" s="173" t="n"/>
      <c r="C8" s="173" t="n"/>
      <c r="D8" s="173">
        <f>+B8*C8</f>
        <v/>
      </c>
    </row>
    <row r="9">
      <c r="A9" s="173" t="n"/>
      <c r="B9" s="173" t="n"/>
      <c r="C9" s="173" t="n"/>
      <c r="D9" s="173">
        <f>+B9*C9</f>
        <v/>
      </c>
    </row>
    <row r="10">
      <c r="A10" s="161" t="inlineStr">
        <is>
          <t>SUBTOTAL</t>
        </is>
      </c>
      <c r="B10" s="172" t="n"/>
      <c r="C10" s="183" t="n"/>
      <c r="D10" s="159">
        <f>SUM(D7:D9)</f>
        <v/>
      </c>
    </row>
    <row r="11">
      <c r="A11" s="188" t="n"/>
      <c r="B11" s="188" t="n"/>
      <c r="C11" s="188" t="n"/>
      <c r="D11" s="156" t="n"/>
    </row>
    <row r="12">
      <c r="A12" s="156" t="n"/>
      <c r="B12" s="188" t="n"/>
      <c r="C12" s="188" t="n"/>
      <c r="D12" s="156" t="n"/>
    </row>
    <row r="13">
      <c r="A13" s="156" t="inlineStr">
        <is>
          <t>GASTOS GENERALES E IMPREVISTOS</t>
        </is>
      </c>
      <c r="B13" s="188" t="n"/>
      <c r="C13" s="188" t="n"/>
      <c r="D13" s="156" t="n"/>
    </row>
    <row r="14"/>
    <row r="15">
      <c r="A15" s="187" t="inlineStr">
        <is>
          <t xml:space="preserve"> </t>
        </is>
      </c>
      <c r="B15" s="187" t="inlineStr">
        <is>
          <t>COSTO</t>
        </is>
      </c>
      <c r="C15" s="187" t="inlineStr">
        <is>
          <t xml:space="preserve"> </t>
        </is>
      </c>
      <c r="D15" s="187" t="inlineStr">
        <is>
          <t>COSTO</t>
        </is>
      </c>
    </row>
    <row r="16">
      <c r="A16" s="186" t="inlineStr">
        <is>
          <t>DESCRIPCIÓN</t>
        </is>
      </c>
      <c r="B16" s="185" t="inlineStr">
        <is>
          <t>UNITARIO</t>
        </is>
      </c>
      <c r="C16" s="185" t="inlineStr">
        <is>
          <t>CANTIDAD</t>
        </is>
      </c>
      <c r="D16" s="185" t="inlineStr">
        <is>
          <t>TOTAL</t>
        </is>
      </c>
    </row>
    <row r="17">
      <c r="A17" s="175" t="n"/>
      <c r="B17" s="184" t="inlineStr">
        <is>
          <t>M$/UNIDAD</t>
        </is>
      </c>
      <c r="C17" s="184" t="n"/>
      <c r="D17" s="184" t="inlineStr">
        <is>
          <t>M$</t>
        </is>
      </c>
    </row>
    <row r="18">
      <c r="A18" s="154" t="inlineStr">
        <is>
          <t>Contingencia general (5%)</t>
        </is>
      </c>
      <c r="B18" s="173">
        <f>SUM(TOTAL!B7:B12)*5%</f>
        <v/>
      </c>
      <c r="C18" s="173" t="n">
        <v>1</v>
      </c>
      <c r="D18" s="173">
        <f>+B18*C18</f>
        <v/>
      </c>
    </row>
    <row r="19">
      <c r="A19" s="173" t="n"/>
      <c r="B19" s="173" t="n"/>
      <c r="C19" s="173" t="n"/>
      <c r="D19" s="173">
        <f>+B19*C19</f>
        <v/>
      </c>
    </row>
    <row r="20">
      <c r="A20" s="173" t="n"/>
      <c r="B20" s="173" t="n"/>
      <c r="C20" s="173" t="n"/>
      <c r="D20" s="173">
        <f>+B20*C20</f>
        <v/>
      </c>
    </row>
    <row r="21">
      <c r="A21" s="173" t="n"/>
      <c r="B21" s="173" t="n"/>
      <c r="C21" s="173" t="n"/>
      <c r="D21" s="173">
        <f>+B21*C21</f>
        <v/>
      </c>
    </row>
    <row r="22">
      <c r="A22" s="161" t="inlineStr">
        <is>
          <t>SUBTOTAL</t>
        </is>
      </c>
      <c r="B22" s="172" t="n"/>
      <c r="C22" s="183" t="n"/>
      <c r="D22" s="159">
        <f>SUM(D18:D21)</f>
        <v/>
      </c>
    </row>
    <row r="23">
      <c r="A23" s="188" t="n"/>
      <c r="B23" s="188" t="n"/>
      <c r="C23" s="188" t="n"/>
      <c r="D23" s="156" t="n"/>
    </row>
    <row r="24">
      <c r="A24" s="188" t="n"/>
      <c r="B24" s="188" t="n"/>
      <c r="C24" s="188" t="n"/>
      <c r="D24" s="156" t="n"/>
    </row>
    <row r="25">
      <c r="A25" s="188" t="n"/>
      <c r="B25" s="188" t="n"/>
      <c r="C25" s="188" t="n"/>
      <c r="D25" s="156" t="n"/>
    </row>
    <row r="26">
      <c r="A26" s="156" t="n"/>
      <c r="B26" s="188" t="n"/>
      <c r="C26" s="188" t="n"/>
      <c r="D26" s="156" t="n"/>
    </row>
    <row r="27">
      <c r="A27" s="156" t="n"/>
      <c r="B27" s="188" t="n"/>
      <c r="C27" s="188" t="n"/>
      <c r="D27" s="156" t="n"/>
    </row>
    <row r="28">
      <c r="A28" s="156" t="inlineStr">
        <is>
          <t>GASTOS COMUNES</t>
        </is>
      </c>
      <c r="B28" s="188" t="n"/>
      <c r="C28" s="188" t="n"/>
      <c r="D28" s="156" t="n"/>
    </row>
    <row r="29">
      <c r="A29" s="156" t="n"/>
      <c r="B29" s="188" t="n"/>
      <c r="C29" s="188" t="n"/>
      <c r="D29" s="156" t="n"/>
    </row>
    <row r="30">
      <c r="A30" s="187" t="inlineStr">
        <is>
          <t xml:space="preserve"> </t>
        </is>
      </c>
      <c r="B30" s="187" t="inlineStr">
        <is>
          <t>COSTO</t>
        </is>
      </c>
      <c r="C30" s="187" t="inlineStr">
        <is>
          <t xml:space="preserve"> </t>
        </is>
      </c>
      <c r="D30" s="187" t="inlineStr">
        <is>
          <t>COSTO</t>
        </is>
      </c>
    </row>
    <row r="31">
      <c r="A31" s="186" t="inlineStr">
        <is>
          <t>DESCRIPCIÓN</t>
        </is>
      </c>
      <c r="B31" s="185" t="inlineStr">
        <is>
          <t>UNITARIO</t>
        </is>
      </c>
      <c r="C31" s="185" t="inlineStr">
        <is>
          <t>CANTIDAD</t>
        </is>
      </c>
      <c r="D31" s="185" t="inlineStr">
        <is>
          <t>TOTAL</t>
        </is>
      </c>
    </row>
    <row r="32">
      <c r="A32" s="175" t="n"/>
      <c r="B32" s="184" t="inlineStr">
        <is>
          <t>M$/UNIDAD</t>
        </is>
      </c>
      <c r="C32" s="184" t="n"/>
      <c r="D32" s="184" t="inlineStr">
        <is>
          <t>M$</t>
        </is>
      </c>
    </row>
    <row r="33">
      <c r="A33" s="173" t="inlineStr">
        <is>
          <t>Electricidad</t>
        </is>
      </c>
      <c r="B33" s="173" t="n">
        <v>50000</v>
      </c>
      <c r="C33" s="173" t="n">
        <v>4</v>
      </c>
      <c r="D33" s="173">
        <f>+B33*C33</f>
        <v/>
      </c>
    </row>
    <row r="34">
      <c r="A34" s="173" t="inlineStr">
        <is>
          <t>Agua potable</t>
        </is>
      </c>
      <c r="B34" s="173" t="n">
        <v>30000</v>
      </c>
      <c r="C34" s="173" t="n">
        <v>4</v>
      </c>
      <c r="D34" s="173">
        <f>+B34*C34</f>
        <v/>
      </c>
    </row>
    <row r="35">
      <c r="A35" s="173" t="inlineStr">
        <is>
          <t xml:space="preserve">Internet </t>
        </is>
      </c>
      <c r="B35" s="173" t="n">
        <v>25000</v>
      </c>
      <c r="C35" s="173" t="n">
        <v>4</v>
      </c>
      <c r="D35" s="173">
        <f>+B35*C35</f>
        <v/>
      </c>
    </row>
    <row r="36">
      <c r="A36" s="173" t="n"/>
      <c r="B36" s="173" t="n"/>
      <c r="C36" s="173" t="n"/>
      <c r="D36" s="173">
        <f>+B36*C36</f>
        <v/>
      </c>
    </row>
    <row r="37">
      <c r="A37" s="161" t="inlineStr">
        <is>
          <t>SUBTOTAL</t>
        </is>
      </c>
      <c r="B37" s="172" t="n"/>
      <c r="C37" s="183" t="n"/>
      <c r="D37" s="159">
        <f>SUM(D33:D36)</f>
        <v/>
      </c>
    </row>
    <row r="38">
      <c r="A38" s="188" t="n"/>
      <c r="B38" s="188" t="n"/>
      <c r="C38" s="188" t="n"/>
      <c r="D38" s="156" t="n"/>
    </row>
    <row r="39">
      <c r="A39" s="188" t="n"/>
      <c r="B39" s="188" t="n"/>
      <c r="C39" s="188" t="n"/>
      <c r="D39" s="156" t="n"/>
    </row>
    <row r="40">
      <c r="A40" s="188" t="n"/>
      <c r="B40" s="188" t="n"/>
      <c r="C40" s="188" t="n"/>
      <c r="D40" s="156" t="n"/>
    </row>
    <row r="41">
      <c r="A41" s="188" t="n"/>
      <c r="B41" s="188" t="n"/>
      <c r="C41" s="188" t="n"/>
      <c r="D41" s="156" t="n"/>
    </row>
    <row r="42">
      <c r="A42" s="188" t="n"/>
      <c r="B42" s="188" t="n"/>
      <c r="C42" s="188" t="n"/>
      <c r="D42" s="156" t="n"/>
    </row>
    <row r="43">
      <c r="A43" s="188" t="n"/>
      <c r="B43" s="188" t="n"/>
      <c r="C43" s="188" t="n"/>
      <c r="D43" s="156" t="n"/>
    </row>
    <row r="44">
      <c r="A44" s="156" t="n"/>
      <c r="B44" s="188" t="n"/>
      <c r="C44" s="188" t="n"/>
      <c r="D44" s="156" t="n"/>
    </row>
    <row r="45">
      <c r="A45" s="156" t="inlineStr">
        <is>
          <t>GASTOS DE ADMINISTRACIÓN SUPERIOR</t>
        </is>
      </c>
    </row>
    <row r="46">
      <c r="A46" s="154" t="inlineStr">
        <is>
          <t xml:space="preserve"> </t>
        </is>
      </c>
    </row>
    <row r="47">
      <c r="A47" s="187" t="inlineStr">
        <is>
          <t xml:space="preserve"> </t>
        </is>
      </c>
      <c r="B47" s="187" t="inlineStr">
        <is>
          <t>COSTO</t>
        </is>
      </c>
      <c r="C47" s="187" t="inlineStr">
        <is>
          <t xml:space="preserve"> </t>
        </is>
      </c>
      <c r="D47" s="187" t="inlineStr">
        <is>
          <t>COSTO</t>
        </is>
      </c>
    </row>
    <row r="48">
      <c r="A48" s="186" t="inlineStr">
        <is>
          <t>DESCRIPCIÓN</t>
        </is>
      </c>
      <c r="B48" s="185" t="inlineStr">
        <is>
          <t>UNITARIO</t>
        </is>
      </c>
      <c r="C48" s="185" t="inlineStr">
        <is>
          <t>CANTIDAD</t>
        </is>
      </c>
      <c r="D48" s="185" t="inlineStr">
        <is>
          <t>TOTAL</t>
        </is>
      </c>
    </row>
    <row r="49">
      <c r="A49" s="175" t="n"/>
      <c r="B49" s="184" t="inlineStr">
        <is>
          <t>M$/UNIDAD</t>
        </is>
      </c>
      <c r="C49" s="184" t="n"/>
      <c r="D49" s="184" t="inlineStr">
        <is>
          <t>M$</t>
        </is>
      </c>
    </row>
    <row r="50">
      <c r="A50" s="173" t="n"/>
      <c r="B50" s="173" t="n"/>
      <c r="C50" s="173" t="n"/>
      <c r="D50" s="173">
        <f>+B50*C50</f>
        <v/>
      </c>
    </row>
    <row r="51">
      <c r="A51" s="173" t="n"/>
      <c r="B51" s="173" t="n"/>
      <c r="C51" s="173" t="n"/>
      <c r="D51" s="173">
        <f>+B51*C51</f>
        <v/>
      </c>
    </row>
    <row r="52">
      <c r="A52" s="161" t="inlineStr">
        <is>
          <t>SUBTOTAL</t>
        </is>
      </c>
      <c r="B52" s="172" t="n"/>
      <c r="C52" s="183" t="n"/>
      <c r="D52" s="159">
        <f>SUM(D50:D51)</f>
        <v/>
      </c>
    </row>
    <row r="53"/>
    <row r="54"/>
    <row r="55"/>
    <row r="56"/>
    <row r="57">
      <c r="A57" s="156" t="n"/>
    </row>
    <row r="58">
      <c r="A58" s="156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topLeftCell="A4" workbookViewId="0">
      <selection activeCell="B9" sqref="B9"/>
    </sheetView>
  </sheetViews>
  <sheetFormatPr baseColWidth="8" defaultColWidth="11.42578125" defaultRowHeight="12.75"/>
  <cols>
    <col width="44.7109375" customWidth="1" style="154" min="1" max="1"/>
    <col width="12.28515625" customWidth="1" style="154" min="2" max="2"/>
    <col width="11.42578125" customWidth="1" style="154" min="3" max="16384"/>
  </cols>
  <sheetData>
    <row r="1" ht="15.75" customHeight="1">
      <c r="A1" s="196" t="inlineStr">
        <is>
          <t>COSTO TOTAL DEL PROYECTO</t>
        </is>
      </c>
    </row>
    <row r="2"/>
    <row r="3"/>
    <row r="4">
      <c r="A4" s="195" t="n"/>
      <c r="B4" s="187" t="inlineStr">
        <is>
          <t>COSTO</t>
        </is>
      </c>
    </row>
    <row r="5">
      <c r="A5" s="194" t="inlineStr">
        <is>
          <t>ITEM</t>
        </is>
      </c>
      <c r="B5" s="185" t="inlineStr">
        <is>
          <t>TOTAL</t>
        </is>
      </c>
    </row>
    <row r="6">
      <c r="A6" s="175" t="n"/>
      <c r="B6" s="184" t="inlineStr">
        <is>
          <t>M$</t>
        </is>
      </c>
    </row>
    <row r="7">
      <c r="A7" s="173" t="inlineStr">
        <is>
          <t>HONORARIOS, INCENTIVOS, REMUNERACIONES</t>
        </is>
      </c>
      <c r="B7" s="234">
        <f>REMUNERACIONES!H12</f>
        <v/>
      </c>
      <c r="C7" s="182" t="n"/>
      <c r="D7" s="182" t="n"/>
      <c r="E7" s="182" t="n"/>
    </row>
    <row r="8">
      <c r="A8" s="173" t="inlineStr">
        <is>
          <t>EQUIPOS</t>
        </is>
      </c>
      <c r="B8" s="234">
        <f>'EQUIPOS E INFRAESTRUCTURA'!F13</f>
        <v/>
      </c>
      <c r="C8" s="182" t="n"/>
      <c r="D8" s="182" t="n"/>
      <c r="E8" s="182" t="n"/>
    </row>
    <row r="9">
      <c r="A9" s="173" t="inlineStr">
        <is>
          <t>INFRAESTRUCTURA</t>
        </is>
      </c>
      <c r="B9" s="234">
        <f>'EQUIPOS E INFRAESTRUCTURA'!F30</f>
        <v/>
      </c>
      <c r="C9" s="182" t="n"/>
      <c r="D9" s="182" t="n"/>
      <c r="E9" s="182" t="n"/>
    </row>
    <row r="10">
      <c r="A10" s="173" t="inlineStr">
        <is>
          <t>SOFTWARE</t>
        </is>
      </c>
      <c r="B10" s="234">
        <f>'SOFTWARE Y FUNGIBLES'!D16</f>
        <v/>
      </c>
      <c r="C10" s="182" t="n"/>
      <c r="D10" s="182" t="n"/>
      <c r="E10" s="182" t="n"/>
    </row>
    <row r="11">
      <c r="A11" s="173" t="inlineStr">
        <is>
          <t>PROPIEDAD INTELECTUAL</t>
        </is>
      </c>
      <c r="B11" s="234">
        <f>OTROS!D10</f>
        <v/>
      </c>
      <c r="C11" s="182" t="n"/>
      <c r="D11" s="182" t="n"/>
      <c r="E11" s="182" t="n"/>
    </row>
    <row r="12">
      <c r="A12" s="173" t="inlineStr">
        <is>
          <t>GASTOS COMUNES</t>
        </is>
      </c>
      <c r="B12" s="234">
        <f>OTROS!D37</f>
        <v/>
      </c>
      <c r="C12" s="182" t="n"/>
      <c r="D12" s="182" t="n"/>
      <c r="E12" s="182" t="n"/>
    </row>
    <row r="13">
      <c r="A13" s="173" t="inlineStr">
        <is>
          <t>GASTOS GENERALES E IMPREVISTOS</t>
        </is>
      </c>
      <c r="B13" s="234">
        <f>OTROS!D22</f>
        <v/>
      </c>
      <c r="C13" s="182" t="n"/>
      <c r="D13" s="182" t="n"/>
      <c r="E13" s="182" t="n"/>
    </row>
    <row r="14" customFormat="1" s="156">
      <c r="A14" s="159" t="inlineStr">
        <is>
          <t>TOTAL</t>
        </is>
      </c>
      <c r="B14" s="235">
        <f>SUM(B7:B13)</f>
        <v/>
      </c>
      <c r="C14" s="170" t="n"/>
      <c r="D14" s="170" t="n"/>
      <c r="E14" s="170" t="n"/>
    </row>
    <row r="15">
      <c r="B15" s="191" t="n"/>
    </row>
    <row r="16">
      <c r="A16" s="156" t="n"/>
      <c r="B16" s="191" t="n"/>
    </row>
    <row r="17">
      <c r="A17" s="156" t="n"/>
      <c r="B17" s="190" t="n"/>
    </row>
    <row r="18">
      <c r="A18" s="156" t="n"/>
      <c r="B18" s="190" t="n"/>
    </row>
    <row r="19">
      <c r="A19" s="156" t="n"/>
      <c r="B19" s="190" t="n"/>
    </row>
    <row r="20">
      <c r="A20" s="156" t="n"/>
      <c r="B20" s="190" t="n"/>
    </row>
    <row r="21">
      <c r="A21" s="156" t="n"/>
      <c r="B21" s="190" t="n"/>
    </row>
    <row r="22">
      <c r="A22" s="156" t="n"/>
      <c r="B22" s="190" t="n"/>
    </row>
    <row r="23">
      <c r="A23" s="156" t="n"/>
      <c r="B23" s="190" t="n"/>
    </row>
    <row r="24"/>
    <row r="25">
      <c r="A25" s="156" t="n"/>
      <c r="B25" s="190" t="n"/>
    </row>
    <row r="26">
      <c r="A26" s="156" t="n"/>
      <c r="B26" s="190" t="n"/>
    </row>
    <row r="27">
      <c r="A27" s="156" t="n"/>
      <c r="B27" s="190" t="n"/>
    </row>
    <row r="28">
      <c r="A28" s="158" t="n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topLeftCell="B1" workbookViewId="0">
      <selection activeCell="C10" sqref="C10"/>
    </sheetView>
  </sheetViews>
  <sheetFormatPr baseColWidth="8" defaultColWidth="11.42578125" defaultRowHeight="15"/>
  <cols>
    <col width="26.7109375" bestFit="1" customWidth="1" min="2" max="2"/>
    <col width="14.7109375" bestFit="1" customWidth="1" min="3" max="5"/>
  </cols>
  <sheetData>
    <row r="1">
      <c r="B1" s="206" t="inlineStr">
        <is>
          <t>BENEFICIO (VENTAS) ESPERADAS DEL PROYECTO</t>
        </is>
      </c>
    </row>
    <row r="2" ht="15.75" customHeight="1" thickBot="1">
      <c r="B2" s="1" t="n"/>
      <c r="C2" s="1" t="n"/>
      <c r="D2" s="236" t="n"/>
      <c r="E2" s="1" t="n"/>
    </row>
    <row r="3">
      <c r="B3" s="3" t="n"/>
      <c r="C3" s="237" t="inlineStr">
        <is>
          <t>Años</t>
        </is>
      </c>
      <c r="D3" s="238" t="n"/>
      <c r="E3" s="239" t="n"/>
    </row>
    <row r="4">
      <c r="B4" s="4" t="inlineStr">
        <is>
          <t>Períodos de estudio económico</t>
        </is>
      </c>
      <c r="C4" s="99" t="n">
        <v>1</v>
      </c>
      <c r="D4" s="99" t="n">
        <v>2</v>
      </c>
      <c r="E4" s="153" t="n">
        <v>3</v>
      </c>
    </row>
    <row r="5">
      <c r="B5" s="4" t="inlineStr">
        <is>
          <t>Proyeccion de mejora anual</t>
        </is>
      </c>
      <c r="C5" s="203" t="n">
        <v>0.1</v>
      </c>
      <c r="D5" s="203" t="n">
        <v>0.1</v>
      </c>
      <c r="E5" s="203" t="n">
        <v>0.1</v>
      </c>
    </row>
    <row r="6">
      <c r="B6" s="4" t="inlineStr">
        <is>
          <t>Precio unitario</t>
        </is>
      </c>
      <c r="C6" s="240" t="n">
        <v>30000000</v>
      </c>
      <c r="D6" s="240">
        <f>C6*10%+C6</f>
        <v/>
      </c>
      <c r="E6" s="240">
        <f>D6*10%+D6</f>
        <v/>
      </c>
    </row>
    <row r="7" ht="15.75" customFormat="1" customHeight="1" s="103" thickBot="1">
      <c r="B7" s="101" t="inlineStr">
        <is>
          <t>Ingresos</t>
        </is>
      </c>
      <c r="C7" s="241">
        <f>+C6+C5</f>
        <v/>
      </c>
      <c r="D7" s="241">
        <f>+D6+D5</f>
        <v/>
      </c>
      <c r="E7" s="241">
        <f>+E6+E5</f>
        <v/>
      </c>
    </row>
    <row r="8"/>
    <row r="9">
      <c r="C9" s="242" t="n"/>
    </row>
  </sheetData>
  <mergeCells count="2">
    <mergeCell ref="C3:E3"/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116" workbookViewId="0">
      <selection activeCell="C11" sqref="C11"/>
    </sheetView>
  </sheetViews>
  <sheetFormatPr baseColWidth="8" defaultColWidth="11.42578125" defaultRowHeight="15"/>
  <cols>
    <col width="14" bestFit="1" customWidth="1" min="1" max="1"/>
    <col width="20.42578125" customWidth="1" min="2" max="2"/>
    <col width="15.7109375" bestFit="1" customWidth="1" min="3" max="4"/>
    <col width="16" customWidth="1" min="6" max="6"/>
  </cols>
  <sheetData>
    <row r="1">
      <c r="A1" s="206" t="inlineStr">
        <is>
          <t>COSTOS DE OPERACIÓN DEL PROYECTO</t>
        </is>
      </c>
      <c r="B1" s="206" t="n"/>
      <c r="C1" s="206" t="n"/>
      <c r="D1" s="206" t="n"/>
    </row>
    <row r="2"/>
    <row r="3">
      <c r="A3" s="200" t="inlineStr">
        <is>
          <t>Costos de Operación</t>
        </is>
      </c>
      <c r="B3" s="201" t="n"/>
      <c r="C3" s="201" t="n"/>
      <c r="D3" s="202" t="n"/>
    </row>
    <row r="4">
      <c r="A4" s="107" t="n"/>
      <c r="B4" s="108" t="n"/>
      <c r="C4" s="108" t="n"/>
      <c r="D4" s="109" t="n"/>
    </row>
    <row r="5">
      <c r="A5" s="4" t="inlineStr">
        <is>
          <t>Año Operación</t>
        </is>
      </c>
      <c r="B5" s="5" t="n">
        <v>1</v>
      </c>
      <c r="C5" s="5" t="n">
        <v>2</v>
      </c>
      <c r="D5" s="6" t="n">
        <v>3</v>
      </c>
    </row>
    <row r="6">
      <c r="A6" t="inlineStr">
        <is>
          <t>Costo Variable</t>
        </is>
      </c>
      <c r="B6" s="7">
        <f>C21</f>
        <v/>
      </c>
      <c r="C6" s="7">
        <f>B6*20%+B6</f>
        <v/>
      </c>
      <c r="D6" s="7">
        <f>C6*20%+C6</f>
        <v/>
      </c>
    </row>
    <row r="7">
      <c r="A7" s="4" t="inlineStr">
        <is>
          <t>Costos fijos</t>
        </is>
      </c>
      <c r="B7" s="7">
        <f>C16</f>
        <v/>
      </c>
      <c r="C7" s="7">
        <f>C16</f>
        <v/>
      </c>
      <c r="D7" s="7">
        <f>C16</f>
        <v/>
      </c>
    </row>
    <row r="8">
      <c r="A8" s="104" t="inlineStr">
        <is>
          <t>Costos Totales</t>
        </is>
      </c>
      <c r="B8" s="243">
        <f>SUM(B6:B7)</f>
        <v/>
      </c>
      <c r="C8" s="243">
        <f>SUM(C6:C7)</f>
        <v/>
      </c>
      <c r="D8" s="244">
        <f>SUM(D6:D7)</f>
        <v/>
      </c>
    </row>
    <row r="9"/>
    <row r="10"/>
    <row r="11">
      <c r="A11" t="inlineStr">
        <is>
          <t>Costo Fijo</t>
        </is>
      </c>
      <c r="B11" t="inlineStr">
        <is>
          <t>Honorarios, incentivos, remuneraciones</t>
        </is>
      </c>
      <c r="C11" s="126" t="n">
        <v>12000000</v>
      </c>
    </row>
    <row r="12">
      <c r="B12" t="inlineStr">
        <is>
          <t>Software</t>
        </is>
      </c>
      <c r="C12" s="126" t="n"/>
    </row>
    <row r="13">
      <c r="B13" t="inlineStr">
        <is>
          <t>Seuro Inventario</t>
        </is>
      </c>
      <c r="C13" s="126" t="n"/>
    </row>
    <row r="14">
      <c r="B14" t="inlineStr">
        <is>
          <t>Seguridad</t>
        </is>
      </c>
      <c r="C14" s="126" t="n"/>
      <c r="D14" t="inlineStr">
        <is>
          <t xml:space="preserve"> </t>
        </is>
      </c>
    </row>
    <row r="15">
      <c r="B15" t="inlineStr">
        <is>
          <t>Personal</t>
        </is>
      </c>
      <c r="C15" s="126" t="n"/>
    </row>
    <row r="16">
      <c r="C16" s="130">
        <f>SUM(C11:C15)</f>
        <v/>
      </c>
    </row>
    <row r="17">
      <c r="A17" t="inlineStr">
        <is>
          <t>Costo Variable</t>
        </is>
      </c>
      <c r="B17" t="inlineStr">
        <is>
          <t>Propiedad intelectual</t>
        </is>
      </c>
      <c r="C17" s="126" t="n">
        <v>26000</v>
      </c>
    </row>
    <row r="18">
      <c r="B18" t="inlineStr">
        <is>
          <t xml:space="preserve">gastos comunes </t>
        </is>
      </c>
      <c r="C18" s="126" t="n">
        <v>420000</v>
      </c>
    </row>
    <row r="19">
      <c r="B19" t="inlineStr">
        <is>
          <t>gastos Imprevistos</t>
        </is>
      </c>
      <c r="C19" s="126" t="n">
        <v>1666300</v>
      </c>
    </row>
    <row r="20">
      <c r="C20" s="126" t="n"/>
    </row>
    <row r="21">
      <c r="C21" s="130">
        <f>SUM(C17:C20)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B1" workbookViewId="0">
      <selection activeCell="E10" sqref="E10"/>
    </sheetView>
  </sheetViews>
  <sheetFormatPr baseColWidth="8" defaultColWidth="11.42578125" defaultRowHeight="15"/>
  <cols>
    <col width="4" customWidth="1" min="1" max="1"/>
    <col width="25.140625" customWidth="1" min="2" max="2"/>
    <col width="23" customWidth="1" min="5" max="5"/>
    <col width="4.140625" customWidth="1" min="7" max="7"/>
    <col width="14.42578125" bestFit="1" customWidth="1" min="8" max="8"/>
    <col width="40.7109375" customWidth="1" min="9" max="9"/>
    <col width="15.140625" bestFit="1" customWidth="1" min="10" max="10"/>
    <col width="14.42578125" bestFit="1" customWidth="1" min="11" max="11"/>
  </cols>
  <sheetData>
    <row r="1">
      <c r="E1" s="206" t="inlineStr">
        <is>
          <t>INVERSIONES A REALIZAR EN PROYECTO</t>
        </is>
      </c>
    </row>
    <row r="2" ht="15.75" customHeight="1" thickBot="1"/>
    <row r="3">
      <c r="B3" s="210" t="inlineStr">
        <is>
          <t>Inversiones</t>
        </is>
      </c>
      <c r="C3" s="238" t="n"/>
      <c r="D3" s="238" t="n"/>
      <c r="E3" s="245" t="n"/>
    </row>
    <row r="4">
      <c r="B4" s="80" t="n"/>
      <c r="C4" s="72" t="n"/>
      <c r="D4" s="72" t="n"/>
      <c r="E4" s="81" t="n"/>
    </row>
    <row r="5" ht="15.75" customHeight="1" thickBot="1">
      <c r="B5" s="4" t="inlineStr">
        <is>
          <t>Item</t>
        </is>
      </c>
      <c r="C5" s="5" t="inlineStr">
        <is>
          <t>Cantidad</t>
        </is>
      </c>
      <c r="D5" s="5" t="inlineStr">
        <is>
          <t>Costo CLP$</t>
        </is>
      </c>
      <c r="E5" s="6" t="inlineStr">
        <is>
          <t>Costo Total CLP$</t>
        </is>
      </c>
      <c r="F5" s="73" t="n"/>
    </row>
    <row r="6">
      <c r="B6" s="82" t="inlineStr">
        <is>
          <t>Desarrollo Software</t>
        </is>
      </c>
      <c r="C6" s="7" t="n">
        <v>4</v>
      </c>
      <c r="D6" s="111" t="n">
        <v>32640000</v>
      </c>
      <c r="E6" s="128">
        <f>D6</f>
        <v/>
      </c>
      <c r="F6" s="73" t="n"/>
      <c r="H6" s="74" t="inlineStr">
        <is>
          <t>Depreciación</t>
        </is>
      </c>
      <c r="I6" s="75" t="inlineStr">
        <is>
          <t>(Costo – valor de desecho)/Años de vida útil</t>
        </is>
      </c>
    </row>
    <row r="7">
      <c r="B7" s="204" t="inlineStr">
        <is>
          <t>Infraestructura Tecnologica</t>
        </is>
      </c>
      <c r="C7" s="7" t="n">
        <v>0</v>
      </c>
      <c r="D7" s="111" t="n">
        <v>0</v>
      </c>
      <c r="E7" s="128">
        <f>D7</f>
        <v/>
      </c>
      <c r="F7" s="73" t="n"/>
      <c r="H7" s="76" t="n"/>
      <c r="I7" s="77" t="n"/>
    </row>
    <row r="8">
      <c r="B8" s="83" t="inlineStr">
        <is>
          <t>Implementación Sistema</t>
        </is>
      </c>
      <c r="C8" s="7" t="n">
        <v>1</v>
      </c>
      <c r="D8" s="111" t="n">
        <v>100000</v>
      </c>
      <c r="E8" s="128">
        <f>D8</f>
        <v/>
      </c>
      <c r="F8" s="129" t="n"/>
      <c r="H8" s="76" t="n"/>
      <c r="I8" s="77" t="n"/>
    </row>
    <row r="9">
      <c r="B9" s="82" t="inlineStr">
        <is>
          <t>Invers. Cap. Tª.</t>
        </is>
      </c>
      <c r="C9" s="7" t="n">
        <v>1</v>
      </c>
      <c r="D9" s="7" t="n">
        <v>100000</v>
      </c>
      <c r="E9" s="128">
        <f>D9</f>
        <v/>
      </c>
      <c r="F9" s="73" t="n"/>
      <c r="H9" s="76" t="inlineStr">
        <is>
          <t>Activos</t>
        </is>
      </c>
      <c r="I9" s="246">
        <f>+E7</f>
        <v/>
      </c>
    </row>
    <row r="10" ht="15.75" customHeight="1" thickBot="1">
      <c r="B10" s="84" t="inlineStr">
        <is>
          <t>Costos Totales</t>
        </is>
      </c>
      <c r="C10" s="85" t="n"/>
      <c r="D10" s="85">
        <f>SUM(D6:D9)</f>
        <v/>
      </c>
      <c r="E10" s="247">
        <f>SUM(E6:E9)</f>
        <v/>
      </c>
      <c r="H10" s="76" t="inlineStr">
        <is>
          <t>Valor residual</t>
        </is>
      </c>
      <c r="I10" s="246">
        <f>+I9*20%</f>
        <v/>
      </c>
      <c r="J10" s="78" t="inlineStr">
        <is>
          <t>= Valor Desecho</t>
        </is>
      </c>
      <c r="K10" s="248">
        <f>+E7*20%</f>
        <v/>
      </c>
    </row>
    <row r="11">
      <c r="H11" s="76" t="inlineStr">
        <is>
          <t>Vida útil (años)</t>
        </is>
      </c>
      <c r="I11" s="77" t="n">
        <v>3</v>
      </c>
    </row>
    <row r="12" ht="15.75" customHeight="1" thickBot="1">
      <c r="C12" s="125" t="n"/>
      <c r="D12" s="125" t="n"/>
      <c r="E12" s="125" t="n"/>
      <c r="F12" s="124" t="n"/>
      <c r="H12" s="249" t="n"/>
      <c r="I12" s="250" t="n"/>
    </row>
    <row r="13" ht="15.75" customHeight="1" thickBot="1">
      <c r="H13" s="71" t="inlineStr">
        <is>
          <t>Depreciación</t>
        </is>
      </c>
      <c r="I13" s="251">
        <f>+(I9-I10)/I11</f>
        <v/>
      </c>
    </row>
    <row r="14"/>
    <row r="15"/>
    <row r="16"/>
    <row r="17">
      <c r="B17" s="103" t="n"/>
    </row>
    <row r="18"/>
    <row r="19">
      <c r="B19" s="103" t="n"/>
    </row>
    <row r="20"/>
    <row r="21">
      <c r="B21" s="103" t="n"/>
    </row>
  </sheetData>
  <mergeCells count="3">
    <mergeCell ref="E1:J1"/>
    <mergeCell ref="H12:I12"/>
    <mergeCell ref="B3:E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D3" sqref="D3"/>
    </sheetView>
  </sheetViews>
  <sheetFormatPr baseColWidth="8" defaultColWidth="11.42578125" defaultRowHeight="15"/>
  <cols>
    <col width="4.28515625" customWidth="1" min="1" max="1"/>
    <col width="22.7109375" customWidth="1" min="2" max="2"/>
    <col width="15.42578125" bestFit="1" customWidth="1" min="3" max="3"/>
    <col width="19.42578125" customWidth="1" min="5" max="5"/>
    <col width="14.28515625" bestFit="1" customWidth="1" min="6" max="6"/>
    <col width="16.28515625" customWidth="1" min="9" max="9"/>
    <col width="14.140625" bestFit="1" customWidth="1" min="10" max="13"/>
  </cols>
  <sheetData>
    <row r="1">
      <c r="E1" s="206" t="inlineStr">
        <is>
          <t>CALCULO DE CUOTA ANUAL PRÉSTAMO BANCARIO</t>
        </is>
      </c>
    </row>
    <row r="2">
      <c r="B2" s="36" t="inlineStr">
        <is>
          <t>Inversión en activos</t>
        </is>
      </c>
      <c r="C2" s="252" t="n">
        <v>32840000</v>
      </c>
    </row>
    <row r="3">
      <c r="B3" s="36" t="inlineStr">
        <is>
          <t>Préstamo 75% Inversión</t>
        </is>
      </c>
      <c r="C3" s="252">
        <f>+C2*75%</f>
        <v/>
      </c>
    </row>
    <row r="4">
      <c r="B4" s="36" t="inlineStr">
        <is>
          <t>Interés</t>
        </is>
      </c>
      <c r="C4" s="120" t="n">
        <v>0.09</v>
      </c>
      <c r="D4" t="inlineStr">
        <is>
          <t>(Tasa Prestamo Comercial)</t>
        </is>
      </c>
    </row>
    <row r="5">
      <c r="B5" s="36" t="inlineStr">
        <is>
          <t>Cuotas</t>
        </is>
      </c>
      <c r="C5" s="38" t="n">
        <v>3</v>
      </c>
      <c r="E5" t="inlineStr">
        <is>
          <t>Valor Cuota</t>
        </is>
      </c>
      <c r="F5" s="253">
        <f>PMT(C4,C5,-C3)</f>
        <v/>
      </c>
      <c r="I5" s="112" t="inlineStr">
        <is>
          <t>http://simuladorcreditos.cl/</t>
        </is>
      </c>
    </row>
    <row r="6" ht="15.75" customHeight="1" thickBot="1"/>
    <row r="7" ht="15.75" customHeight="1" thickBot="1">
      <c r="B7" s="254" t="inlineStr">
        <is>
          <t>CALCULO CUOTA PRÉSTAMO (AMORTIZACIÓN)</t>
        </is>
      </c>
      <c r="C7" s="255" t="n"/>
      <c r="D7" s="255" t="n"/>
      <c r="E7" s="255" t="n"/>
      <c r="F7" s="256" t="n"/>
      <c r="H7" s="26" t="inlineStr">
        <is>
          <t>Determinación cuota préstamo:</t>
        </is>
      </c>
      <c r="I7" s="27" t="n"/>
      <c r="J7" s="27" t="n"/>
      <c r="K7" s="27" t="n"/>
      <c r="L7" s="27" t="n"/>
      <c r="M7" s="28" t="n"/>
    </row>
    <row r="8" ht="15.75" customHeight="1" thickBot="1">
      <c r="B8" s="257" t="inlineStr">
        <is>
          <t>R = P [(i (1 + i)n) / ((1 + i)n – 1)]</t>
        </is>
      </c>
      <c r="C8" s="258" t="n"/>
      <c r="D8" s="258" t="n"/>
      <c r="E8" s="258" t="n"/>
      <c r="F8" s="259" t="n"/>
      <c r="H8" s="29" t="inlineStr">
        <is>
          <t>Año</t>
        </is>
      </c>
      <c r="I8" s="30" t="inlineStr">
        <is>
          <t>Saldo Capital</t>
        </is>
      </c>
      <c r="J8" s="31" t="inlineStr">
        <is>
          <t>Interés</t>
        </is>
      </c>
      <c r="K8" s="30" t="inlineStr">
        <is>
          <t>Cuota</t>
        </is>
      </c>
      <c r="M8" s="32" t="inlineStr">
        <is>
          <t>Capital pagado</t>
        </is>
      </c>
    </row>
    <row r="9">
      <c r="B9" s="260" t="n"/>
      <c r="C9" s="11" t="n"/>
      <c r="D9" s="11" t="n"/>
      <c r="E9" s="11" t="n"/>
      <c r="F9" s="12" t="n"/>
      <c r="H9" s="33" t="n">
        <v>0</v>
      </c>
      <c r="I9" s="261">
        <f>C3</f>
        <v/>
      </c>
      <c r="J9" s="262" t="n"/>
      <c r="K9" s="263" t="n"/>
      <c r="L9" s="262" t="n"/>
      <c r="M9" s="262" t="n">
        <v>0</v>
      </c>
    </row>
    <row r="10">
      <c r="B10" s="25" t="n"/>
      <c r="C10" s="14" t="n"/>
      <c r="D10" s="14" t="n"/>
      <c r="E10" s="14" t="n"/>
      <c r="F10" s="15" t="n"/>
      <c r="H10" s="33" t="n">
        <v>1</v>
      </c>
      <c r="I10" s="264">
        <f>+I9-L10</f>
        <v/>
      </c>
      <c r="J10" s="265">
        <f>+I9*$C$4</f>
        <v/>
      </c>
      <c r="K10" s="266">
        <f>$F$5</f>
        <v/>
      </c>
      <c r="L10" s="265">
        <f>+K10-J10</f>
        <v/>
      </c>
      <c r="M10" s="265">
        <f>+L10</f>
        <v/>
      </c>
    </row>
    <row r="11" ht="15.75" customHeight="1" thickBot="1">
      <c r="B11" s="13" t="n"/>
      <c r="C11" s="16" t="n"/>
      <c r="D11" s="16" t="n"/>
      <c r="E11" s="39" t="n"/>
      <c r="F11" s="17" t="n"/>
      <c r="H11" s="33" t="n">
        <v>2</v>
      </c>
      <c r="I11" s="264">
        <f>+I10-L11</f>
        <v/>
      </c>
      <c r="J11" s="265">
        <f>+I10*$C$4</f>
        <v/>
      </c>
      <c r="K11" s="266">
        <f>$F$5</f>
        <v/>
      </c>
      <c r="L11" s="265">
        <f>+K11-J11</f>
        <v/>
      </c>
      <c r="M11" s="265">
        <f>+M10+L11</f>
        <v/>
      </c>
    </row>
    <row r="12" ht="15.75" customHeight="1" thickBot="1">
      <c r="B12" s="18" t="n"/>
      <c r="C12" s="19" t="n"/>
      <c r="D12" s="19" t="n"/>
      <c r="E12" s="40" t="inlineStr">
        <is>
          <t>Valor Cuota anual</t>
        </is>
      </c>
      <c r="F12" s="253">
        <f>F5</f>
        <v/>
      </c>
      <c r="H12" s="33" t="n">
        <v>3</v>
      </c>
      <c r="I12" s="264">
        <f>+I11-L12</f>
        <v/>
      </c>
      <c r="J12" s="265">
        <f>+I11*$C$4</f>
        <v/>
      </c>
      <c r="K12" s="266">
        <f>$F$5</f>
        <v/>
      </c>
      <c r="L12" s="265">
        <f>+K12-J12</f>
        <v/>
      </c>
      <c r="M12" s="265">
        <f>+M11+L12</f>
        <v/>
      </c>
    </row>
    <row r="13">
      <c r="B13" s="21" t="inlineStr">
        <is>
          <t>R = renta (cuota)</t>
        </is>
      </c>
      <c r="C13" s="1" t="n"/>
      <c r="D13" s="1" t="n"/>
      <c r="E13" s="1" t="n"/>
      <c r="F13" s="20" t="n"/>
      <c r="H13" s="267" t="inlineStr">
        <is>
          <t>La cuota del Banco tiene una parte de interés y otra de amortización del capital real que se pidió como préstamo. En tabla superior se aclara como está compuesta la cuota bancaria y que parte corresponde a interés y que parte amortización del saldo capital real.  Fijarse que para determinar interés calculo sobre el capita real (27.750.000) el interés que es 18%. Luego su resultado restado al valor cuota me entrega el valor de recuperación de capital. Posteriormente, se realiza la misma operación con el saldo que queda por analizar.</t>
        </is>
      </c>
      <c r="M13" s="268" t="n"/>
    </row>
    <row r="14">
      <c r="B14" s="21" t="inlineStr">
        <is>
          <t>P = Monto Principal (préstamo adquirido)</t>
        </is>
      </c>
      <c r="C14" s="1" t="n"/>
      <c r="D14" s="1" t="n"/>
      <c r="E14" s="1" t="n"/>
      <c r="F14" s="20" t="n"/>
      <c r="H14" s="269" t="n"/>
      <c r="M14" s="268" t="n"/>
    </row>
    <row r="15">
      <c r="B15" s="21" t="inlineStr">
        <is>
          <t>i = tasa de interés</t>
        </is>
      </c>
      <c r="C15" s="1" t="n"/>
      <c r="D15" s="1" t="n"/>
      <c r="E15" s="1" t="n"/>
      <c r="F15" s="20" t="n"/>
      <c r="H15" s="269" t="n"/>
      <c r="M15" s="268" t="n"/>
    </row>
    <row r="16" ht="15.75" customHeight="1" thickBot="1">
      <c r="B16" s="22" t="inlineStr">
        <is>
          <t>n = Períodos de cuotas (años/meses, según corresponda)</t>
        </is>
      </c>
      <c r="C16" s="23" t="n"/>
      <c r="D16" s="23" t="n"/>
      <c r="E16" s="23" t="n"/>
      <c r="F16" s="24" t="n"/>
      <c r="H16" s="269" t="n"/>
      <c r="M16" s="268" t="n"/>
    </row>
    <row r="17">
      <c r="H17" s="269" t="n"/>
      <c r="M17" s="268" t="n"/>
    </row>
    <row r="18" ht="15.75" customHeight="1" thickBot="1">
      <c r="H18" s="270" t="n"/>
      <c r="I18" s="258" t="n"/>
      <c r="J18" s="258" t="n"/>
      <c r="K18" s="258" t="n"/>
      <c r="L18" s="258" t="n"/>
      <c r="M18" s="259" t="n"/>
    </row>
    <row r="19">
      <c r="K19" s="271" t="n"/>
    </row>
    <row r="20">
      <c r="C20" s="242" t="n"/>
      <c r="K20" s="271" t="n"/>
    </row>
    <row r="21">
      <c r="C21" s="242" t="n"/>
    </row>
    <row r="22"/>
    <row r="23">
      <c r="C23" s="242" t="n"/>
    </row>
  </sheetData>
  <mergeCells count="4">
    <mergeCell ref="B8:F8"/>
    <mergeCell ref="E1:J1"/>
    <mergeCell ref="B7:F7"/>
    <mergeCell ref="H13:M18"/>
  </mergeCells>
  <hyperlinks>
    <hyperlink xmlns:r="http://schemas.openxmlformats.org/officeDocument/2006/relationships" ref="I5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workbookViewId="0">
      <selection activeCell="I23" sqref="I23"/>
    </sheetView>
  </sheetViews>
  <sheetFormatPr baseColWidth="8" defaultColWidth="11.42578125" defaultRowHeight="15"/>
  <cols>
    <col width="2.28515625" customWidth="1" min="1" max="1"/>
    <col width="28.42578125" bestFit="1" customWidth="1" min="2" max="2"/>
    <col width="11.42578125" bestFit="1" customWidth="1" min="3" max="3"/>
    <col width="13.28515625" customWidth="1" min="4" max="4"/>
    <col width="12.7109375" customWidth="1" min="5" max="5"/>
    <col width="12.7109375" bestFit="1" customWidth="1" min="6" max="6"/>
    <col width="3.28515625" customWidth="1" min="7" max="7"/>
    <col width="8.42578125" customWidth="1" min="8" max="8"/>
    <col width="12.7109375" bestFit="1" customWidth="1" min="9" max="9"/>
    <col width="13.28515625" bestFit="1" customWidth="1" min="10" max="10"/>
    <col width="13" bestFit="1" customWidth="1" min="11" max="11"/>
    <col width="13" customWidth="1" min="12" max="12"/>
  </cols>
  <sheetData>
    <row r="1">
      <c r="B1" s="227" t="inlineStr">
        <is>
          <t>FLUJO DE CAJA</t>
        </is>
      </c>
    </row>
    <row r="2" ht="4.5" customHeight="1" thickBot="1"/>
    <row r="3" ht="15.75" customHeight="1" thickBot="1">
      <c r="B3" s="41" t="inlineStr">
        <is>
          <t>ítem</t>
        </is>
      </c>
      <c r="C3" s="42" t="inlineStr">
        <is>
          <t>Año 0</t>
        </is>
      </c>
      <c r="D3" s="43" t="inlineStr">
        <is>
          <t>Año 1</t>
        </is>
      </c>
      <c r="E3" s="43" t="inlineStr">
        <is>
          <t>Año 2</t>
        </is>
      </c>
      <c r="F3" s="43" t="inlineStr">
        <is>
          <t>Año 3</t>
        </is>
      </c>
      <c r="H3" s="272" t="inlineStr">
        <is>
          <t>PAY BACK</t>
        </is>
      </c>
      <c r="I3" s="273" t="n"/>
      <c r="J3" s="273" t="n"/>
      <c r="K3" s="273" t="n"/>
      <c r="L3" s="274" t="n"/>
    </row>
    <row r="4">
      <c r="B4" s="132" t="inlineStr">
        <is>
          <t>Beneficio  (Ventas)</t>
        </is>
      </c>
      <c r="C4" s="133" t="n"/>
      <c r="D4" s="134">
        <f>'Beneficio (Ventas)'!C7</f>
        <v/>
      </c>
      <c r="E4" s="134">
        <f>'Beneficio (Ventas)'!D7</f>
        <v/>
      </c>
      <c r="F4" s="134">
        <f>'Beneficio (Ventas)'!E7</f>
        <v/>
      </c>
      <c r="H4" s="89" t="inlineStr">
        <is>
          <t>Item</t>
        </is>
      </c>
      <c r="I4" s="88" t="inlineStr">
        <is>
          <t>Año 0</t>
        </is>
      </c>
      <c r="J4" s="88" t="inlineStr">
        <is>
          <t>Año 1</t>
        </is>
      </c>
      <c r="K4" s="88" t="inlineStr">
        <is>
          <t>Año 2</t>
        </is>
      </c>
      <c r="L4" s="142" t="inlineStr">
        <is>
          <t>Año 3</t>
        </is>
      </c>
    </row>
    <row r="5" ht="19.5" customHeight="1">
      <c r="B5" s="133" t="n"/>
      <c r="C5" s="133" t="n"/>
      <c r="D5" s="134" t="n"/>
      <c r="E5" s="134" t="n"/>
      <c r="F5" s="134" t="n"/>
      <c r="H5" s="110" t="inlineStr">
        <is>
          <t>Flujo de Caja</t>
        </is>
      </c>
      <c r="I5" s="275">
        <f>C23</f>
        <v/>
      </c>
      <c r="J5" s="275">
        <f>D23</f>
        <v/>
      </c>
      <c r="K5" s="275">
        <f>E23</f>
        <v/>
      </c>
      <c r="L5" s="276">
        <f>F23</f>
        <v/>
      </c>
    </row>
    <row r="6">
      <c r="B6" s="132" t="inlineStr">
        <is>
          <t>Costos Operación</t>
        </is>
      </c>
      <c r="C6" s="277" t="n"/>
      <c r="D6" s="278">
        <f>-'Costos Operación'!B8</f>
        <v/>
      </c>
      <c r="E6" s="278">
        <f>-'Costos Operación'!C8</f>
        <v/>
      </c>
      <c r="F6" s="278">
        <f>-'Costos Operación'!D8</f>
        <v/>
      </c>
      <c r="H6" s="90" t="n"/>
      <c r="I6" s="143" t="n"/>
      <c r="J6" s="279">
        <f>I5+J5</f>
        <v/>
      </c>
      <c r="K6" s="150" t="n"/>
      <c r="L6" s="151" t="n"/>
    </row>
    <row r="7" ht="18" customHeight="1">
      <c r="B7" s="132" t="inlineStr">
        <is>
          <t>Depreciación</t>
        </is>
      </c>
      <c r="C7" s="277" t="n"/>
      <c r="D7" s="278">
        <f>-Inversiones!$I$13</f>
        <v/>
      </c>
      <c r="E7" s="278">
        <f>-Inversiones!$I$13</f>
        <v/>
      </c>
      <c r="F7" s="278">
        <f>-Inversiones!$I$13</f>
        <v/>
      </c>
      <c r="H7" s="90" t="n"/>
      <c r="I7" s="143" t="n"/>
      <c r="J7" s="150" t="n"/>
      <c r="K7" s="279">
        <f>J6+K5</f>
        <v/>
      </c>
      <c r="L7" s="151" t="n"/>
      <c r="N7" s="145" t="n"/>
    </row>
    <row r="8" ht="15.75" customHeight="1" thickBot="1">
      <c r="B8" s="132" t="n"/>
      <c r="C8" s="277" t="n"/>
      <c r="D8" s="278" t="n"/>
      <c r="E8" s="278" t="n"/>
      <c r="F8" s="278" t="n"/>
      <c r="H8" s="144" t="n"/>
      <c r="I8" s="91" t="n"/>
      <c r="J8" s="152" t="n"/>
      <c r="K8" s="152" t="n"/>
      <c r="L8" s="279">
        <f>K7+L5</f>
        <v/>
      </c>
    </row>
    <row r="9" ht="15.75" customHeight="1" thickBot="1">
      <c r="B9" s="132" t="inlineStr">
        <is>
          <t>Interés por Préstamo</t>
        </is>
      </c>
      <c r="C9" s="277" t="n"/>
      <c r="D9" s="278">
        <f>-Préstamo!J10</f>
        <v/>
      </c>
      <c r="E9" s="278">
        <f>-Préstamo!J11</f>
        <v/>
      </c>
      <c r="F9" s="278">
        <f>-Préstamo!J12</f>
        <v/>
      </c>
      <c r="H9" s="141" t="n"/>
      <c r="I9" s="91" t="n"/>
      <c r="J9" s="91" t="n"/>
      <c r="K9" s="91" t="n"/>
      <c r="L9" s="141" t="n"/>
    </row>
    <row r="10" ht="15.75" customHeight="1" thickBot="1">
      <c r="B10" s="50" t="inlineStr">
        <is>
          <t>Utilid. antes Impto.</t>
        </is>
      </c>
      <c r="C10" s="280" t="n"/>
      <c r="D10" s="281">
        <f>SUM(D4:D9)</f>
        <v/>
      </c>
      <c r="E10" s="281">
        <f>SUM(E4:E9)</f>
        <v/>
      </c>
      <c r="F10" s="281">
        <f>SUM(F4:F9)</f>
        <v/>
      </c>
    </row>
    <row r="11" ht="15.75" customHeight="1" thickBot="1">
      <c r="B11" s="53" t="inlineStr">
        <is>
          <t>27% Impuesto</t>
        </is>
      </c>
      <c r="C11" s="282" t="n"/>
      <c r="D11" s="283">
        <f>-IF(D10=0,0,D10*27%)</f>
        <v/>
      </c>
      <c r="E11" s="283">
        <f>-IF(E10=0,0,E10*27%)</f>
        <v/>
      </c>
      <c r="F11" s="283">
        <f>-IF(F10=0,0,F10*27%)</f>
        <v/>
      </c>
    </row>
    <row r="12" ht="15.75" customHeight="1" thickBot="1">
      <c r="B12" s="56" t="inlineStr">
        <is>
          <t>Utilid. desp. Impto.</t>
        </is>
      </c>
      <c r="C12" s="284" t="n"/>
      <c r="D12" s="285">
        <f>SUM(D10:D11)</f>
        <v/>
      </c>
      <c r="E12" s="285">
        <f>SUM(E10:E11)</f>
        <v/>
      </c>
      <c r="F12" s="285">
        <f>SUM(F10:F11)</f>
        <v/>
      </c>
      <c r="L12" s="126" t="n"/>
    </row>
    <row r="13" ht="15.75" customHeight="1" thickBot="1">
      <c r="B13" s="44" t="inlineStr">
        <is>
          <t>Depreciación</t>
        </is>
      </c>
      <c r="C13" s="286" t="n"/>
      <c r="D13" s="287">
        <f>-D7</f>
        <v/>
      </c>
      <c r="E13" s="287">
        <f>-E7</f>
        <v/>
      </c>
      <c r="F13" s="287">
        <f>-F7</f>
        <v/>
      </c>
      <c r="I13" s="288" t="inlineStr">
        <is>
          <t>INDICADORES</t>
        </is>
      </c>
      <c r="J13" s="256" t="n"/>
      <c r="Q13" s="289" t="n"/>
    </row>
    <row r="14" ht="18" customHeight="1">
      <c r="B14" s="46" t="inlineStr">
        <is>
          <t>Amortización préstamo</t>
        </is>
      </c>
      <c r="C14" s="290" t="n"/>
      <c r="D14" s="291">
        <f>-Préstamo!L10</f>
        <v/>
      </c>
      <c r="E14" s="291">
        <f>-Préstamo!L11</f>
        <v/>
      </c>
      <c r="F14" s="291">
        <f>-Préstamo!L12</f>
        <v/>
      </c>
      <c r="I14" s="92" t="inlineStr">
        <is>
          <t xml:space="preserve">VAN </t>
        </is>
      </c>
      <c r="J14" s="292">
        <f>I23</f>
        <v/>
      </c>
      <c r="N14" s="145" t="n"/>
      <c r="Q14" s="293" t="n"/>
    </row>
    <row r="15">
      <c r="B15" s="8" t="inlineStr">
        <is>
          <t>Préstamo (75% inversión)</t>
        </is>
      </c>
      <c r="C15" s="294">
        <f>Préstamo!C3</f>
        <v/>
      </c>
      <c r="D15" s="295" t="n"/>
      <c r="E15" s="295" t="n"/>
      <c r="F15" s="295" t="n"/>
      <c r="I15" s="76" t="inlineStr">
        <is>
          <t>TIR</t>
        </is>
      </c>
      <c r="J15" s="94">
        <f>I24</f>
        <v/>
      </c>
    </row>
    <row r="16">
      <c r="B16" s="62" t="inlineStr">
        <is>
          <t>Inversiones:</t>
        </is>
      </c>
      <c r="C16" s="296" t="n"/>
      <c r="D16" s="295" t="n"/>
      <c r="E16" s="295" t="n"/>
      <c r="F16" s="295" t="n"/>
      <c r="I16" s="76" t="inlineStr">
        <is>
          <t>Tasa de dcto.</t>
        </is>
      </c>
      <c r="J16" s="95" t="n">
        <v>0.12</v>
      </c>
      <c r="K16" t="inlineStr">
        <is>
          <t>(Para Tecnología)</t>
        </is>
      </c>
    </row>
    <row r="17">
      <c r="B17" s="8" t="inlineStr">
        <is>
          <t>Desarrollo Software</t>
        </is>
      </c>
      <c r="C17" s="297">
        <f>-Inversiones!E6</f>
        <v/>
      </c>
      <c r="D17" s="295" t="n"/>
      <c r="E17" s="295" t="n"/>
      <c r="F17" s="295" t="n"/>
      <c r="I17" s="76" t="inlineStr">
        <is>
          <t xml:space="preserve">Horizonte </t>
        </is>
      </c>
      <c r="J17" s="97" t="n">
        <v>3</v>
      </c>
    </row>
    <row r="18" ht="15.75" customHeight="1" thickBot="1">
      <c r="B18" s="9" t="inlineStr">
        <is>
          <t>Infraestructura Tecnologica</t>
        </is>
      </c>
      <c r="C18" s="297">
        <f>-Inversiones!E7</f>
        <v/>
      </c>
      <c r="D18" s="295" t="n"/>
      <c r="E18" s="295" t="n"/>
      <c r="F18" s="295" t="n"/>
      <c r="I18" s="96" t="inlineStr">
        <is>
          <t>Payback</t>
        </is>
      </c>
      <c r="J18" s="98" t="n">
        <v>2.56</v>
      </c>
    </row>
    <row r="19">
      <c r="B19" s="9" t="inlineStr">
        <is>
          <t>Implementación Sistema</t>
        </is>
      </c>
      <c r="C19" s="297">
        <f>-Inversiones!E8</f>
        <v/>
      </c>
      <c r="D19" s="295" t="n"/>
      <c r="E19" s="295" t="n"/>
      <c r="F19" s="295" t="n"/>
      <c r="J19" s="73" t="n"/>
    </row>
    <row r="20">
      <c r="B20" s="8" t="inlineStr">
        <is>
          <t>Invers. Cap. Tª.</t>
        </is>
      </c>
      <c r="C20" s="297">
        <f>-Inversiones!E9</f>
        <v/>
      </c>
      <c r="D20" s="295" t="n"/>
      <c r="E20" s="295" t="n"/>
      <c r="F20" s="295" t="n"/>
    </row>
    <row r="21">
      <c r="B21" s="8" t="inlineStr">
        <is>
          <t>Valor Residual</t>
        </is>
      </c>
      <c r="C21" s="298" t="n"/>
      <c r="D21" s="295" t="n"/>
      <c r="E21" s="295" t="n"/>
      <c r="F21" s="295">
        <f>Inversiones!K10</f>
        <v/>
      </c>
    </row>
    <row r="22" ht="15.75" customHeight="1" thickBot="1">
      <c r="B22" s="8" t="inlineStr">
        <is>
          <t>Recuperac. Cap.Tª</t>
        </is>
      </c>
      <c r="C22" s="299" t="n"/>
      <c r="D22" s="295" t="n"/>
      <c r="E22" s="295" t="n"/>
      <c r="F22" s="295">
        <f>Inversiones!E9</f>
        <v/>
      </c>
    </row>
    <row r="23" ht="15.75" customHeight="1" thickBot="1">
      <c r="B23" s="137" t="inlineStr">
        <is>
          <t>Flujo de Caja</t>
        </is>
      </c>
      <c r="C23" s="300">
        <f>SUM(C12:C22)</f>
        <v/>
      </c>
      <c r="D23" s="301">
        <f>SUM(D12:D22)</f>
        <v/>
      </c>
      <c r="E23" s="301">
        <f>SUM(E12:E22)</f>
        <v/>
      </c>
      <c r="F23" s="301">
        <f>SUM(F12:F22)</f>
        <v/>
      </c>
      <c r="H23" s="118" t="inlineStr">
        <is>
          <t>VAN</t>
        </is>
      </c>
      <c r="I23" s="302">
        <f>NPV(0.12,D23:F23)-C23</f>
        <v/>
      </c>
    </row>
    <row r="24" ht="15.75" customHeight="1" thickBot="1">
      <c r="B24" s="66" t="n"/>
      <c r="C24" s="303" t="n"/>
      <c r="D24" s="303" t="n"/>
      <c r="E24" s="303" t="n"/>
      <c r="F24" s="303" t="n"/>
      <c r="H24" s="118" t="inlineStr">
        <is>
          <t>TIR</t>
        </is>
      </c>
      <c r="I24" s="117">
        <f>IRR(C23:F23)</f>
        <v/>
      </c>
      <c r="J24" s="131" t="n"/>
    </row>
    <row r="25" ht="15.75" customHeight="1" thickBot="1">
      <c r="B25" s="68" t="inlineStr">
        <is>
          <t>PARA CALCULO MANUAL DE VAN</t>
        </is>
      </c>
      <c r="C25" s="304">
        <f>+C23</f>
        <v/>
      </c>
      <c r="D25" s="305">
        <f>+D23/((1+$J$16)^1)</f>
        <v/>
      </c>
      <c r="E25" s="305">
        <f>+E23/((1+$J$16)^2)</f>
        <v/>
      </c>
      <c r="F25" s="305">
        <f>+F23/((1+$J$16)^3)</f>
        <v/>
      </c>
      <c r="I25" s="293" t="n"/>
    </row>
    <row r="26">
      <c r="F26" s="306">
        <f>SUM(C25:F25)</f>
        <v/>
      </c>
    </row>
    <row r="27">
      <c r="B27" s="116" t="n"/>
      <c r="C27" s="116" t="n"/>
      <c r="D27" s="116" t="n"/>
      <c r="E27" s="116" t="n"/>
      <c r="F27" s="116" t="n"/>
      <c r="G27" s="116" t="n"/>
      <c r="H27" s="116" t="n"/>
      <c r="I27" s="116" t="n"/>
      <c r="J27" s="116" t="n"/>
    </row>
    <row r="28">
      <c r="B28" s="116" t="n"/>
      <c r="C28" s="116" t="n"/>
      <c r="D28" s="116" t="n"/>
      <c r="E28" s="116" t="n"/>
      <c r="F28" s="116" t="n"/>
    </row>
    <row r="29"/>
    <row r="30"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</row>
    <row r="31"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</row>
    <row r="33"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16" t="n"/>
      <c r="K33" s="116" t="n"/>
      <c r="L33" s="116" t="n"/>
    </row>
    <row r="34">
      <c r="B34" s="116" t="n"/>
      <c r="C34" s="116" t="n"/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</row>
    <row r="35">
      <c r="B35" s="116" t="n"/>
      <c r="C35" s="116" t="n"/>
      <c r="D35" s="116" t="n"/>
      <c r="E35" s="116" t="n"/>
      <c r="F35" s="116" t="n"/>
      <c r="G35" s="116" t="n"/>
      <c r="H35" s="116" t="n"/>
      <c r="I35" s="116" t="n"/>
      <c r="J35" s="116" t="n"/>
      <c r="K35" s="116" t="n"/>
      <c r="L35" s="116" t="n"/>
    </row>
    <row r="36">
      <c r="B36" s="116" t="n"/>
      <c r="C36" s="116" t="n"/>
      <c r="D36" s="116" t="n"/>
      <c r="E36" s="116" t="n"/>
      <c r="F36" s="116" t="n"/>
      <c r="G36" s="116" t="n"/>
      <c r="H36" s="116" t="n"/>
      <c r="I36" s="116" t="n"/>
      <c r="J36" s="116" t="n"/>
      <c r="K36" s="116" t="n"/>
      <c r="L36" s="116" t="n"/>
    </row>
    <row r="37">
      <c r="B37" s="116" t="n"/>
      <c r="C37" s="116" t="n"/>
      <c r="D37" s="116" t="n"/>
      <c r="E37" s="116" t="n"/>
      <c r="F37" s="116" t="n"/>
      <c r="G37" s="116" t="n"/>
      <c r="H37" s="116" t="n"/>
      <c r="I37" s="116" t="n"/>
      <c r="J37" s="116" t="n"/>
      <c r="K37" s="116" t="n"/>
      <c r="L37" s="116" t="n"/>
    </row>
    <row r="38">
      <c r="B38" s="116" t="n"/>
      <c r="C38" s="116" t="n"/>
      <c r="D38" s="116" t="n"/>
      <c r="E38" s="116" t="n"/>
      <c r="F38" s="116" t="n"/>
      <c r="G38" s="116" t="n"/>
      <c r="H38" s="116" t="n"/>
      <c r="I38" s="116" t="n"/>
      <c r="J38" s="116" t="n"/>
      <c r="K38" s="116" t="n"/>
      <c r="L38" s="116" t="n"/>
    </row>
    <row r="39">
      <c r="B39" s="116" t="n"/>
      <c r="C39" s="116" t="n"/>
      <c r="D39" s="116" t="n"/>
      <c r="E39" s="116" t="n"/>
      <c r="F39" s="116" t="n"/>
      <c r="G39" s="116" t="n"/>
      <c r="H39" s="116" t="n"/>
      <c r="I39" s="116" t="n"/>
      <c r="J39" s="116" t="n"/>
      <c r="K39" s="116" t="n"/>
      <c r="L39" s="116" t="n"/>
    </row>
    <row r="40">
      <c r="B40" s="116" t="n"/>
      <c r="C40" s="116" t="n"/>
      <c r="D40" s="116" t="n"/>
      <c r="E40" s="116" t="n"/>
      <c r="F40" s="116" t="n"/>
      <c r="G40" s="116" t="n"/>
      <c r="H40" s="116" t="n"/>
      <c r="I40" s="116" t="n"/>
      <c r="J40" s="116" t="n"/>
      <c r="K40" s="116" t="n"/>
      <c r="L40" s="116" t="n"/>
    </row>
    <row r="41">
      <c r="B41" s="116" t="n"/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</row>
    <row r="42">
      <c r="B42" s="116" t="n"/>
      <c r="C42" s="116" t="n"/>
      <c r="D42" s="116" t="n"/>
      <c r="E42" s="116" t="n"/>
      <c r="F42" s="116" t="n"/>
      <c r="G42" s="116" t="n"/>
      <c r="H42" s="116" t="n"/>
      <c r="I42" s="116" t="n"/>
      <c r="J42" s="116" t="n"/>
      <c r="K42" s="116" t="n"/>
      <c r="L42" s="116" t="n"/>
    </row>
  </sheetData>
  <mergeCells count="3">
    <mergeCell ref="B1:F1"/>
    <mergeCell ref="H3:L3"/>
    <mergeCell ref="I13:J1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Espinoza</dc:creator>
  <dcterms:created xmlns:dcterms="http://purl.org/dc/terms/" xmlns:xsi="http://www.w3.org/2001/XMLSchema-instance" xsi:type="dcterms:W3CDTF">2016-10-28T13:12:46Z</dcterms:created>
  <dcterms:modified xmlns:dcterms="http://purl.org/dc/terms/" xmlns:xsi="http://www.w3.org/2001/XMLSchema-instance" xsi:type="dcterms:W3CDTF">2026-10-01T14:48:02Z</dcterms:modified>
  <cp:lastModifiedBy>JUAN PEDRO LEON FARIAS</cp:lastModifiedBy>
</cp:coreProperties>
</file>